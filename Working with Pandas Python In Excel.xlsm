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MANOJ\Data Scientist\Udemy\Python In Excel For Data Science\"/>
    </mc:Choice>
  </mc:AlternateContent>
  <xr:revisionPtr revIDLastSave="0" documentId="13_ncr:1_{EC0D30FF-AA38-434E-98D3-F86E7EF78CDB}" xr6:coauthVersionLast="47" xr6:coauthVersionMax="47" xr10:uidLastSave="{00000000-0000-0000-0000-000000000000}"/>
  <bookViews>
    <workbookView xWindow="-108" yWindow="-108" windowWidth="23256" windowHeight="12456" tabRatio="804" xr2:uid="{00000000-000D-0000-FFFF-FFFF00000000}"/>
  </bookViews>
  <sheets>
    <sheet name="services.csv" sheetId="1" r:id="rId1"/>
    <sheet name="Titanic-Dataset" sheetId="3" r:id="rId2"/>
    <sheet name="NBA Player Data From_Web" sheetId="4" r:id="rId3"/>
    <sheet name="Pandas Basic" sheetId="2" r:id="rId4"/>
    <sheet name="Pandas Advanced" sheetId="5" r:id="rId5"/>
  </sheets>
  <definedNames>
    <definedName name="ExternalData_1" localSheetId="0" hidden="1">services.csv!$A$1:$V$24</definedName>
    <definedName name="ExternalData_1" localSheetId="1" hidden="1">'Titanic-Dataset'!$A$1:$L$892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2" l="1" a="1"/>
  <c r="B19" i="2" a="1"/>
  <c r="B27" i="2" a="1"/>
  <c r="B34" i="2" a="1"/>
  <c r="B36" i="2" a="1"/>
  <c r="B48" i="2" a="1"/>
  <c r="B61" i="2" a="1"/>
  <c r="B63" i="2" a="1"/>
  <c r="B75" i="2" a="1"/>
  <c r="B77" i="2" a="1"/>
  <c r="B79" i="2" a="1"/>
  <c r="B81" i="2" a="1"/>
  <c r="B94" i="2" a="1"/>
  <c r="B106" i="2" a="1"/>
  <c r="B108" i="2" a="1"/>
  <c r="B108" i="2" l="1"/>
  <c r="B106" i="2"/>
  <c r="B94" i="2"/>
  <c r="C94" i="2" s="1" a="1"/>
  <c r="C94" i="2" s="1"/>
  <c r="B81" i="2"/>
  <c r="C81" i="2" s="1" a="1"/>
  <c r="C81" i="2" s="1"/>
  <c r="B79" i="2"/>
  <c r="C79" i="2" s="1" a="1"/>
  <c r="C79" i="2" s="1"/>
  <c r="B77" i="2"/>
  <c r="C77" i="2" s="1" a="1"/>
  <c r="C77" i="2" s="1"/>
  <c r="B75" i="2"/>
  <c r="B63" i="2"/>
  <c r="B61" i="2"/>
  <c r="C61" i="2" s="1" a="1"/>
  <c r="C61" i="2" s="1"/>
  <c r="B48" i="2"/>
  <c r="C48" i="2" s="1" a="1"/>
  <c r="C48" i="2" s="1"/>
  <c r="B36" i="2"/>
  <c r="C36" i="2" s="1" a="1"/>
  <c r="C36" i="2" s="1"/>
  <c r="B34" i="2"/>
  <c r="C34" i="2" s="1" a="1"/>
  <c r="C34" i="2" s="1"/>
  <c r="B27" i="2"/>
  <c r="C27" i="2" s="1" a="1"/>
  <c r="C27" i="2" s="1"/>
  <c r="B19" i="2"/>
  <c r="C19" i="2" s="1" a="1"/>
  <c r="C19" i="2" s="1"/>
  <c r="B5" i="2"/>
  <c r="B121" i="2" a="1"/>
  <c r="B121" i="2" l="1"/>
  <c r="C108" i="2" a="1"/>
  <c r="C108" i="2" s="1"/>
  <c r="C63" i="2" a="1"/>
  <c r="C63" i="2" s="1"/>
  <c r="E63" i="2" a="1"/>
  <c r="E63" i="2" s="1"/>
  <c r="F63" i="2" a="1"/>
  <c r="F63" i="2" s="1"/>
  <c r="D63" i="2" a="1"/>
  <c r="D63" i="2" s="1"/>
  <c r="C5" i="2" a="1"/>
  <c r="C5" i="2" s="1"/>
  <c r="C75" i="2" a="1"/>
  <c r="C75" i="2" s="1"/>
  <c r="D75" i="2" a="1"/>
  <c r="D75" i="2" s="1"/>
  <c r="E75" i="2" a="1"/>
  <c r="E75" i="2" s="1"/>
  <c r="B128" i="2" a="1"/>
  <c r="B130" i="2" a="1"/>
  <c r="B130" i="2" l="1"/>
  <c r="B128" i="2"/>
  <c r="C121" i="2" a="1"/>
  <c r="C121" i="2" s="1"/>
  <c r="B143" i="2" a="1"/>
  <c r="B156" i="2" a="1"/>
  <c r="B159" i="2" a="1"/>
  <c r="C128" i="2" l="1" a="1"/>
  <c r="C128" i="2" s="1"/>
  <c r="B159" i="2"/>
  <c r="B156" i="2"/>
  <c r="B143" i="2"/>
  <c r="C130" i="2" a="1"/>
  <c r="C130" i="2" s="1"/>
  <c r="B172" i="2" a="1"/>
  <c r="C143" i="2" l="1" a="1"/>
  <c r="C143" i="2" s="1"/>
  <c r="B172" i="2"/>
  <c r="C159" i="2" a="1"/>
  <c r="C159" i="2" s="1"/>
  <c r="B174" i="2" a="1"/>
  <c r="B176" i="2" a="1"/>
  <c r="B178" i="2" a="1"/>
  <c r="B191" i="2" a="1"/>
  <c r="B198" i="2" a="1"/>
  <c r="B205" i="2" a="1"/>
  <c r="B205" i="2" l="1"/>
  <c r="C205" i="2" s="1" a="1"/>
  <c r="C205" i="2" s="1"/>
  <c r="B198" i="2"/>
  <c r="B191" i="2"/>
  <c r="C191" i="2" s="1" a="1"/>
  <c r="C191" i="2" s="1"/>
  <c r="B178" i="2"/>
  <c r="C178" i="2" s="1" a="1"/>
  <c r="C178" i="2" s="1"/>
  <c r="B176" i="2"/>
  <c r="B174" i="2"/>
  <c r="C172" i="2" a="1"/>
  <c r="C172" i="2" s="1"/>
  <c r="B207" i="2" a="1"/>
  <c r="B219" i="2" a="1"/>
  <c r="B232" i="2" a="1"/>
  <c r="C174" i="2" l="1" a="1"/>
  <c r="C174" i="2" s="1"/>
  <c r="B232" i="2"/>
  <c r="B219" i="2"/>
  <c r="C219" i="2" s="1" a="1"/>
  <c r="C219" i="2" s="1"/>
  <c r="B207" i="2"/>
  <c r="C198" i="2" a="1"/>
  <c r="C198" i="2" s="1"/>
  <c r="C207" i="2" l="1" a="1"/>
  <c r="C207" i="2" s="1"/>
  <c r="A5" i="5" a="1"/>
  <c r="A5" i="5" l="1"/>
  <c r="A19" i="5" a="1"/>
  <c r="A19" i="5" l="1"/>
  <c r="B5" i="5" a="1"/>
  <c r="B5" i="5" s="1"/>
  <c r="A27" i="5" a="1"/>
  <c r="A27" i="5" l="1"/>
  <c r="B19" i="5" a="1"/>
  <c r="B19" i="5" s="1"/>
  <c r="A30" i="5" a="1"/>
  <c r="A30" i="5" l="1"/>
  <c r="B27" i="5" a="1"/>
  <c r="B27" i="5" s="1"/>
  <c r="A43" i="5" a="1"/>
  <c r="A43" i="5" l="1"/>
  <c r="B30" i="5" a="1"/>
  <c r="B30" i="5" s="1"/>
  <c r="A54" i="5" a="1"/>
  <c r="A54" i="5" l="1"/>
  <c r="B43" i="5" a="1"/>
  <c r="B43" i="5" s="1"/>
  <c r="A68" i="5" a="1"/>
  <c r="A68" i="5" l="1"/>
  <c r="B54" i="5" a="1"/>
  <c r="B54" i="5" s="1"/>
  <c r="A81" i="5" a="1"/>
  <c r="A81" i="5" l="1"/>
  <c r="B68" i="5" a="1"/>
  <c r="B68" i="5" s="1"/>
  <c r="A83" i="5" a="1"/>
  <c r="A83" i="5" l="1"/>
  <c r="B81" i="5" a="1"/>
  <c r="B81" i="5" s="1"/>
  <c r="A85" i="5" a="1"/>
  <c r="A85" i="5" l="1"/>
  <c r="B83" i="5" a="1"/>
  <c r="B83" i="5" s="1"/>
  <c r="A92" i="5" a="1"/>
  <c r="A92" i="5" l="1"/>
  <c r="B85" i="5" a="1"/>
  <c r="B85" i="5" s="1"/>
  <c r="A106" i="5" a="1"/>
  <c r="A106" i="5" l="1"/>
  <c r="B92" i="5" a="1"/>
  <c r="B92" i="5" s="1"/>
  <c r="A120" i="5" a="1"/>
  <c r="A120" i="5" l="1"/>
  <c r="B106" i="5" a="1"/>
  <c r="B106" i="5" s="1"/>
  <c r="A122" i="5" a="1"/>
  <c r="A122" i="5" l="1"/>
  <c r="B120" i="5" a="1"/>
  <c r="B120" i="5" s="1"/>
  <c r="A128" i="5" a="1"/>
  <c r="A128" i="5" l="1"/>
  <c r="B122" i="5" a="1"/>
  <c r="B122" i="5" s="1"/>
  <c r="A131" i="5" a="1"/>
  <c r="A131" i="5" l="1"/>
  <c r="A145" i="5" a="1"/>
  <c r="A148" i="5" a="1"/>
  <c r="A148" i="5" l="1"/>
  <c r="B148" i="5" s="1" a="1"/>
  <c r="B148" i="5" s="1"/>
  <c r="A145" i="5"/>
  <c r="B131" i="5" a="1"/>
  <c r="B131" i="5" s="1"/>
  <c r="A151" i="5" a="1"/>
  <c r="A151" i="5" l="1"/>
  <c r="B145" i="5" a="1"/>
  <c r="B145" i="5" s="1"/>
  <c r="A163" i="5" a="1"/>
  <c r="A163" i="5" l="1"/>
  <c r="B151" i="5" a="1"/>
  <c r="B151" i="5" s="1"/>
  <c r="C151" i="5" a="1"/>
  <c r="C151" i="5" s="1"/>
  <c r="A165" i="5" a="1"/>
  <c r="A165" i="5" l="1"/>
  <c r="A179" i="5" a="1"/>
  <c r="A179" i="5" l="1"/>
  <c r="B165" i="5" a="1"/>
  <c r="B165" i="5" s="1"/>
  <c r="A192" i="5" a="1"/>
  <c r="A192" i="5" l="1"/>
  <c r="B179" i="5" a="1"/>
  <c r="B179" i="5" s="1"/>
  <c r="A206" i="5" a="1"/>
  <c r="A206" i="5" l="1"/>
  <c r="B192" i="5" a="1"/>
  <c r="B192" i="5" s="1"/>
  <c r="A220" i="5" a="1"/>
  <c r="A220" i="5" l="1"/>
  <c r="B206" i="5" a="1"/>
  <c r="B206" i="5" s="1"/>
  <c r="A234" i="5" a="1"/>
  <c r="A234" i="5" l="1"/>
  <c r="B220" i="5" a="1"/>
  <c r="B220" i="5" s="1"/>
  <c r="A248" i="5" a="1"/>
  <c r="A248" i="5" l="1"/>
  <c r="B234" i="5" a="1"/>
  <c r="B234" i="5" s="1"/>
  <c r="A261" i="5" a="1"/>
  <c r="A261" i="5" l="1"/>
  <c r="B248" i="5" a="1"/>
  <c r="B248" i="5" s="1"/>
  <c r="A275" i="5" a="1"/>
  <c r="A275" i="5" l="1"/>
  <c r="B261" i="5" a="1"/>
  <c r="B261" i="5" s="1"/>
  <c r="C261" i="5" a="1"/>
  <c r="C261" i="5" s="1"/>
  <c r="A288" i="5" a="1"/>
  <c r="A288" i="5" l="1"/>
  <c r="C275" i="5" a="1"/>
  <c r="C275" i="5" s="1"/>
  <c r="B275" i="5" a="1"/>
  <c r="B275" i="5" s="1"/>
  <c r="A302" i="5" a="1"/>
  <c r="A302" i="5" l="1"/>
  <c r="B288" i="5" a="1"/>
  <c r="B288" i="5" s="1"/>
  <c r="A316" i="5" a="1"/>
  <c r="A316" i="5" l="1"/>
  <c r="B302" i="5" a="1"/>
  <c r="B302" i="5" s="1"/>
  <c r="A321" i="5" a="1"/>
  <c r="A321" i="5" l="1"/>
  <c r="B316" i="5" a="1"/>
  <c r="B316" i="5" s="1"/>
  <c r="A334" i="5" a="1"/>
  <c r="A334" i="5" l="1"/>
  <c r="B321" i="5" a="1"/>
  <c r="B321" i="5" s="1"/>
  <c r="A339" i="5" a="1"/>
  <c r="A339" i="5" l="1"/>
  <c r="B334" i="5" a="1"/>
  <c r="B334" i="5" s="1"/>
  <c r="A345" i="5" a="1"/>
  <c r="A345" i="5" l="1"/>
  <c r="B339" i="5" a="1"/>
  <c r="B339" i="5" s="1"/>
  <c r="A351" i="5" a="1"/>
  <c r="A351" i="5" l="1"/>
  <c r="B345" i="5" a="1"/>
  <c r="B345" i="5" s="1"/>
  <c r="A353" i="5" a="1"/>
  <c r="A353" i="5" l="1"/>
  <c r="A357" i="5" a="1"/>
  <c r="A357" i="5" l="1"/>
  <c r="B353" i="5" a="1"/>
  <c r="B353" i="5" s="1"/>
  <c r="A369" i="5" a="1"/>
  <c r="A369" i="5" l="1"/>
  <c r="B357" i="5" a="1"/>
  <c r="B357" i="5" s="1"/>
  <c r="A371" i="5" a="1"/>
  <c r="A371" i="5" l="1"/>
  <c r="A373" i="5" a="1"/>
  <c r="A373" i="5" l="1"/>
  <c r="A375" i="5" a="1"/>
  <c r="A375" i="5" l="1"/>
  <c r="A389" i="5" a="1"/>
  <c r="A389" i="5" l="1"/>
  <c r="B375" i="5" a="1"/>
  <c r="B375" i="5" s="1"/>
  <c r="A391" i="5" a="1"/>
  <c r="A391" i="5" l="1"/>
  <c r="A406" i="5" a="1"/>
  <c r="A406" i="5" l="1"/>
  <c r="B391" i="5" a="1"/>
  <c r="B391" i="5" s="1"/>
  <c r="A420" i="5" a="1"/>
  <c r="A420" i="5" l="1"/>
  <c r="B420" i="5" s="1" a="1"/>
  <c r="B420" i="5" s="1"/>
  <c r="B406" i="5" a="1"/>
  <c r="B406"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B41EB8-AEFE-4069-971A-FDD7335E0916}" keepAlive="1" name="Query - services" description="Connection to the 'services' query in the workbook." type="5" refreshedVersion="8" background="1" saveData="1">
    <dbPr connection="Provider=Microsoft.Mashup.OleDb.1;Data Source=$Workbook$;Location=services;Extended Properties=&quot;&quot;" command="SELECT * FROM [services]"/>
  </connection>
  <connection id="2" xr16:uid="{A83F5D69-F627-4913-A6B4-DC5E976BBB40}" keepAlive="1" name="Query - Titanic-Dataset" description="Connection to the 'Titanic-Dataset' query in the workbook." type="5" refreshedVersion="8" background="1" saveData="1">
    <dbPr connection="Provider=Microsoft.Mashup.OleDb.1;Data Source=$Workbook$;Location=Titanic-Dataset;Extended Properties=&quot;&quot;" command="SELECT * FROM [Titanic-Datase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6"/>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6"/>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4"/>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10"/>
        </ext>
      </extLst>
    </bk>
    <bk>
      <extLst>
        <ext uri="{3e2802c4-a4d2-4d8b-9148-e3be6c30e623}">
          <xlrd:rvb i="113"/>
        </ext>
      </extLst>
    </bk>
    <bk>
      <extLst>
        <ext uri="{3e2802c4-a4d2-4d8b-9148-e3be6c30e623}">
          <xlrd:rvb i="116"/>
        </ext>
      </extLst>
    </bk>
    <bk>
      <extLst>
        <ext uri="{3e2802c4-a4d2-4d8b-9148-e3be6c30e623}">
          <xlrd:rvb i="119"/>
        </ext>
      </extLst>
    </bk>
    <bk>
      <extLst>
        <ext uri="{3e2802c4-a4d2-4d8b-9148-e3be6c30e623}">
          <xlrd:rvb i="122"/>
        </ext>
      </extLst>
    </bk>
    <bk>
      <extLst>
        <ext uri="{3e2802c4-a4d2-4d8b-9148-e3be6c30e623}">
          <xlrd:rvb i="125"/>
        </ext>
      </extLst>
    </bk>
    <bk>
      <extLst>
        <ext uri="{3e2802c4-a4d2-4d8b-9148-e3be6c30e623}">
          <xlrd:rvb i="128"/>
        </ext>
      </extLst>
    </bk>
    <bk>
      <extLst>
        <ext uri="{3e2802c4-a4d2-4d8b-9148-e3be6c30e623}">
          <xlrd:rvb i="131"/>
        </ext>
      </extLst>
    </bk>
    <bk>
      <extLst>
        <ext uri="{3e2802c4-a4d2-4d8b-9148-e3be6c30e623}">
          <xlrd:rvb i="134"/>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2"/>
        </ext>
      </extLst>
    </bk>
    <bk>
      <extLst>
        <ext uri="{3e2802c4-a4d2-4d8b-9148-e3be6c30e623}">
          <xlrd:rvb i="143"/>
        </ext>
      </extLst>
    </bk>
    <bk>
      <extLst>
        <ext uri="{3e2802c4-a4d2-4d8b-9148-e3be6c30e623}">
          <xlrd:rvb i="146"/>
        </ext>
      </extLst>
    </bk>
    <bk>
      <extLst>
        <ext uri="{3e2802c4-a4d2-4d8b-9148-e3be6c30e623}">
          <xlrd:rvb i="149"/>
        </ext>
      </extLst>
    </bk>
    <bk>
      <extLst>
        <ext uri="{3e2802c4-a4d2-4d8b-9148-e3be6c30e623}">
          <xlrd:rvb i="152"/>
        </ext>
      </extLst>
    </bk>
    <bk>
      <extLst>
        <ext uri="{3e2802c4-a4d2-4d8b-9148-e3be6c30e623}">
          <xlrd:rvb i="155"/>
        </ext>
      </extLst>
    </bk>
  </futureMetadata>
  <cellMetadata count="1">
    <bk>
      <rc t="1" v="0"/>
    </bk>
  </cellMetadata>
  <valueMetadata count="6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df = xl(%P2%, headers=True)</code>
    </pythonScript>
    <pythonScript>
      <code>df.head()</code>
    </pythonScript>
    <pythonScript>
      <code>df.tail()</code>
    </pythonScript>
    <pythonScript>
      <code>type(df)</code>
    </pythonScript>
    <pythonScript>
      <code>list(df.columns)</code>
    </pythonScript>
    <pythonScript>
      <code>df['status']</code>
    </pythonScript>
    <pythonScript>
      <code>type(df['status'])</code>
    </pythonScript>
    <pythonScript>
      <code>list(df['status'])</code>
    </pythonScript>
    <pythonScript>
      <code>list[['status']]</code>
    </pythonScript>
    <pythonScript>
      <code>type(df[['status']])</code>
    </pythonScript>
    <pythonScript>
      <code>df.columns</code>
    </pythonScript>
    <pythonScript>
      <code>df[['email','keywords','name']]</code>
    </pythonScript>
    <pythonScript>
      <code>df.dtypes</code>
    </pythonScript>
    <pythonScript>
      <code>df2 = pd.read_csv("https://raw.githubusercontent.com/datasciencedojo/datasets/master/titanic.csvraw.githubusercontent.com/datasciencedojo/datasets/master/titanic.csv")</code>
    </pythonScript>
    <pythonScript>
      <code>df3 = xl(%P2%, headers=True)</code>
    </pythonScript>
    <pythonScript>
      <code>df3.head(5)</code>
    </pythonScript>
    <pythonScript>
      <code>df3.columns</code>
    </pythonScript>
    <pythonScript>
      <code>df3['Survived']</code>
    </pythonScript>
    <pythonScript>
      <code>df3[['Survived', 'Pclass', 'Name']]</code>
    </pythonScript>
    <pythonScript>
      <code>url_data = pd.read_html("https://www.basketball-reference.com/leagues/NBA_2015_totals.html")</code>
    </pythonScript>
    <pythonScript>
      <code>url_data2 =xl(%P2%, headers=True)</code>
    </pythonScript>
    <pythonScript>
      <code>type(url_data2)</code>
    </pythonScript>
    <pythonScript>
      <code>len(url_data2)</code>
    </pythonScript>
    <pythonScript>
      <code>df4 =url_data2</code>
    </pythonScript>
    <pythonScript>
      <code>df4</code>
    </pythonScript>
    <pythonScript>
      <code>df4.head()</code>
    </pythonScript>
    <pythonScript>
      <code>df4.tail()</code>
    </pythonScript>
    <pythonScript>
      <code>df4.columns</code>
    </pythonScript>
    <pythonScript>
      <code>df4.dtypes</code>
    </pythonScript>
    <pythonScript>
      <code>df4[['Pos', 'Age', 'Tm']]</code>
    </pythonScript>
    <pythonScript>
      <code>df4.to_csv("players_data.csv",index=False)</code>
    </pythonScript>
    <pythonScript>
      <code>df.describe()</code>
    </pythonScript>
    <pythonScript>
      <code>df[['Name','Sex','Ticket','Cabin','Embarked']]</code>
    </pythonScript>
    <pythonScript>
      <code>df.dtypes == 'object'</code>
    </pythonScript>
    <pythonScript>
      <code>df.dtypes[df.dtypes == 'object'].index</code>
    </pythonScript>
    <pythonScript>
      <code>type(df.dtypes[df.dtypes == 'object'])</code>
    </pythonScript>
    <pythonScript>
      <code>df[df.dtypes[df.dtypes == 'object'].index].describe()</code>
    </pythonScript>
    <pythonScript>
      <code>df[df.dtypes[df.dtypes == 'float64'].index]</code>
    </pythonScript>
    <pythonScript>
      <code>df[df.dtypes[df.dtypes == 'int64'].index]</code>
    </pythonScript>
    <pythonScript>
      <code>df[['Ticket','Cabin']][4:11:2]</code>
    </pythonScript>
    <pythonScript>
      <code>df["new_col1"] = df['PassengerId'] + df['Pclass']</code>
    </pythonScript>
    <pythonScript>
      <code>df</code>
    </pythonScript>
    <pythonScript>
      <code>pd.Categorical(df['Pclass'])</code>
    </pythonScript>
    <pythonScript>
      <code>pd.Categorical(df['Survived'])</code>
    </pythonScript>
    <pythonScript>
      <code>df['Cabin'].unique()</code>
    </pythonScript>
    <pythonScript>
      <code>len(df[df['Age'] &gt;18]) -891</code>
    </pythonScript>
    <pythonScript>
      <code>df[df['Age'] &gt;18]</code>
    </pythonScript>
    <pythonScript>
      <code>df[df['Fare'] &gt; 32.204208]</code>
    </pythonScript>
    <pythonScript>
      <code>df[df['Fare'] ==0]</code>
    </pythonScript>
    <pythonScript>
      <code>df[df['Sex'] == 'male']</code>
    </pythonScript>
    <pythonScript>
      <code>df[df['Sex'] == 'female']</code>
    </pythonScript>
    <pythonScript>
      <code>df[df["Pclass"] == 1]</code>
    </pythonScript>
    <pythonScript>
      <code>df[df['Survived'] == 1 ]</code>
    </pythonScript>
    <pythonScript>
      <code>df['Sex'] == 'felmale'</code>
    </pythonScript>
    <pythonScript>
      <code>df['Fare'] &gt; 32</code>
    </pythonScript>
    <pythonScript>
      <code>df[(df['Sex'] == 'felmale')  | (df['Fare'] &gt; 32 )]</code>
    </pythonScript>
    <pythonScript>
      <code>df[(df['Sex'] == 'male')  &amp; (df['Fare'] &gt; 32 )]</code>
    </pythonScript>
    <pythonScript>
      <code>df[df['Fare'] == max(df['Fare'])]['Name']</code>
    </pythonScript>
    <pythonScript>
      <code>df[0::2]</code>
    </pythonScript>
    <pythonScript>
      <code>df[['PassengerId','Survived','Pclass']][0:2]</code>
    </pythonScript>
    <pythonScript>
      <code>df.iloc[0:2,[0,1,2]]</code>
    </pythonScript>
    <pythonScript>
      <code>df.loc[0:2,['PassengerId','Survived','Pclass']]</code>
    </pythonScript>
    <pythonScript>
      <code>len(df)</code>
    </pythonScript>
    <pythonScript>
      <code>df['Name'][0:10]</code>
    </pythonScript>
    <pythonScript>
      <code>df['Name'][0]</code>
    </pythonScript>
    <pythonScript>
      <code>df.drop('PassengerId',axis=1,inplace=True)</code>
    </pythonScript>
    <pythonScript>
      <code>df.drop(3,inplace=True)</code>
    </pythonScript>
    <pythonScript>
      <code>df.set_index("Name",inplace=True)</code>
    </pythonScript>
    <pythonScript>
      <code>df.reset_index()</code>
    </pythonScript>
    <pythonScript>
      <code>df.fillna("manoj")</code>
    </pythonScript>
  </pythonScripts>
</python>
</file>

<file path=xl/sharedStrings.xml><?xml version="1.0" encoding="utf-8"?>
<sst xmlns="http://schemas.openxmlformats.org/spreadsheetml/2006/main" count="7668" uniqueCount="2502">
  <si>
    <t>id</t>
  </si>
  <si>
    <t>location_id</t>
  </si>
  <si>
    <t>program_id</t>
  </si>
  <si>
    <t>accepted_payments</t>
  </si>
  <si>
    <t>alternate_name</t>
  </si>
  <si>
    <t>application_process</t>
  </si>
  <si>
    <t>audience</t>
  </si>
  <si>
    <t>description</t>
  </si>
  <si>
    <t>eligibility</t>
  </si>
  <si>
    <t>email</t>
  </si>
  <si>
    <t>fees</t>
  </si>
  <si>
    <t>funding_sources</t>
  </si>
  <si>
    <t>interpretation_services</t>
  </si>
  <si>
    <t>keywords</t>
  </si>
  <si>
    <t>languages</t>
  </si>
  <si>
    <t>name</t>
  </si>
  <si>
    <t>required_documents</t>
  </si>
  <si>
    <t>service_areas</t>
  </si>
  <si>
    <t>status</t>
  </si>
  <si>
    <t>wait_time</t>
  </si>
  <si>
    <t>website</t>
  </si>
  <si>
    <t>taxonomy_ids</t>
  </si>
  <si>
    <t/>
  </si>
  <si>
    <t>Walk in or apply by phone.</t>
  </si>
  <si>
    <t>Older adults age 55 or over, ethnic minorities and low-income persons</t>
  </si>
  <si>
    <t>A walk-in center for older adults that provides social services, wellness, recreational, educational and creative activities including arts and crafts, computer classes and gardening classes.</t>
  </si>
  <si>
    <t>Age 55 or over for most programs, age 60 or over for lunch program</t>
  </si>
  <si>
    <t>$2.50 suggested donation for lunch for age 60 or over, donations for other services appreciated. Cash and checks accepted.</t>
  </si>
  <si>
    <t>City, County, Donations, Fees, Fundraising</t>
  </si>
  <si>
    <t>ADULT PROTECTION AND CARE SERVICES, Meal Sites/Home-delivered Mea, COMMUNITY SERVICES, Group Support, Information and Referral, EDUCATION SERVICES, English Language, RECREATION/LEISURE SERVICES, Arts and Crafts, Sports/Games/Exercise, Brown Bag Food Programs, Congregate Meals/Nutrition Sites, Senior Centers, Older Adults</t>
  </si>
  <si>
    <t>Fair Oaks Adult Activity Center</t>
  </si>
  <si>
    <t>Colma</t>
  </si>
  <si>
    <t>active</t>
  </si>
  <si>
    <t>No wait.</t>
  </si>
  <si>
    <t>Apply by phone for an appointment.</t>
  </si>
  <si>
    <t>Residents of San Mateo County age 55 or over</t>
  </si>
  <si>
    <t>Provides training and job placement to eligible people age 55 or over who meet certain income qualifications.</t>
  </si>
  <si>
    <t>Age 55 or over, county resident and willing and able to work. Income requirements vary according to program</t>
  </si>
  <si>
    <t>None. Donations requested of clients who can afford it.</t>
  </si>
  <si>
    <t>County, Federal, State</t>
  </si>
  <si>
    <t>EMPLOYMENT/TRAINING SERVICES, Job Development, Job Information/Placement/Referral, Job Training, Job Training Formats, Job Search/Placement, Older Adults</t>
  </si>
  <si>
    <t>Second Career Employment Program</t>
  </si>
  <si>
    <t>San Mateo County</t>
  </si>
  <si>
    <t>Varies.</t>
  </si>
  <si>
    <t>Phone for information (403-4300 Ext. 4322).</t>
  </si>
  <si>
    <t>Older adults age 55 or over who can benefit from counseling</t>
  </si>
  <si>
    <t>Offers supportive counseling services to San Mateo County residents age 55 or over.</t>
  </si>
  <si>
    <t>Resident of San Mateo County age 55 or over</t>
  </si>
  <si>
    <t>None.</t>
  </si>
  <si>
    <t>County, Donations, Grants</t>
  </si>
  <si>
    <t>Geriatric Counseling, Older Adults, Gay, Lesbian, Bisexual, Transgender Individuals, Mentoring Programs</t>
  </si>
  <si>
    <t>Senior Peer Counseling</t>
  </si>
  <si>
    <t>Apply by phone.</t>
  </si>
  <si>
    <t>Parents, children, families with problems of custody disputes, domestic violence or substance abuse, families going through a separation or divorce</t>
  </si>
  <si>
    <t>Provides supervised visitation services and a neutral site for parents to carry out supervised exchanges of children in a safe manner. Provides counseling for child abuse prevention and domestic violence.</t>
  </si>
  <si>
    <t>None</t>
  </si>
  <si>
    <t>Vary according to income ($5-$90). Cash, checks and credit cards accepted.</t>
  </si>
  <si>
    <t>INDIVIDUAL AND FAMILY DEVELOPMENT SERVICES, Growth and Adjustment, LEGAL AND CRIMINAL JUSTICE SERVICES, Mediation, Parental Visitation Monitoring, Divorce Counseling, Youth, Abuse Prevention, Child Abuse, Domestic Violence</t>
  </si>
  <si>
    <t>Family Visitation Center</t>
  </si>
  <si>
    <t>Phone for information.</t>
  </si>
  <si>
    <t>Low-income working families with children transitioning from welfare to work and poor or who do not have access to conventional credit</t>
  </si>
  <si>
    <t>Provides fixed 8% short term loans to eligible applicants for the purchase of a reliable, used autmobile. Loans are up to $6,000 over 2 1/2 years (30 months). Funds must go towards the entire purchase of the automobile. Peninsula Family Service originates loans and collaborates with commercial partner banks to service the loans, helping clients build credit histories. Formerly known as Family Service Agency of San Mateo County, Ways to Work Family Loan Program.</t>
  </si>
  <si>
    <t>Eligibility: Low-income family with legal custody of a minor child or an involved parent of a dependent minor child. Must reside and/or work in San Mateo County. Must be working and have verifiable income and ability to pay off loan. No bankruptcies in the past two years and unable to qualify for other funding sources. Loans approved by loan committee.</t>
  </si>
  <si>
    <t>$60 application fee. Cash or checks accepted.</t>
  </si>
  <si>
    <t>County, Grants, State</t>
  </si>
  <si>
    <t>COMMUNITY SERVICES, Speakers, Automobile Loans</t>
  </si>
  <si>
    <t>Economic Self-Sufficiency Program</t>
  </si>
  <si>
    <t>Walk in or apply by phone for membership application.</t>
  </si>
  <si>
    <t>Any age</t>
  </si>
  <si>
    <t>A multipurpose center offering a wide variety of recreational, education and cultural activities.</t>
  </si>
  <si>
    <t>$55 per year membership dues. Classes have fees. Discounts are available for members. Cash, checks and credit cards accepted.</t>
  </si>
  <si>
    <t>Fees, Fundraising, Grants, Dues</t>
  </si>
  <si>
    <t>ADULT PROTECTION AND CARE SERVICES, In-Home Supportive, Meal Sites/Home-delivered Meals, COMMUNITY SERVICES, Group Support, Information and Referral, EDUCATION SERVICES, Adult, HEALTH SERVICES, Education/Information, Family Support, Individual/Group Counseling, Screening/Immunization, RECREATION/LEISURE SERVICES, Sports/Games/Exercise, Community Adult Schools, Senior Centers, Older Adults</t>
  </si>
  <si>
    <t>Little House Recreational Activities</t>
  </si>
  <si>
    <t>Apply by phone or be referred by a doctor, social worker or other professional. All prospective participants are interviewed individually before starting the program. A recent physical examination is required, including a TB test.</t>
  </si>
  <si>
    <t>Older adults who have memory or sensory loss, mobility limitations and may be lonely and in need of socialization</t>
  </si>
  <si>
    <t>Rosener House is a day center for older adults who may be unable to live independently but do not require 24-hour nursing care, may be isolated and in need of a planned activity program, may need assistance with activities of daily living or are living in a family situation where the caregiver needs respite from giving full-time care. Assists elderly persons to continue to live with family or alone rather than moving to a skilled nursing facility. Activities are scheduled Monday-Friday, 10 am-2:30 pm, and participants may come two to five days per week. The facility is open from 8 am to 5:30 pm for participants who need to remain all day. Small group late afternoon activities are held from 3-5:30 pm. The program provides a noon meal including special diets as required. Services offered include social and therapeutic recreational activities, individual and family counseling and occupational, physical and speech therapy. A registered nurse is available daily.</t>
  </si>
  <si>
    <t>Age 18 or over</t>
  </si>
  <si>
    <t>$85 per day. Vary according to income for those unable to pay full fee. Cash, checks, credit cards, private insurance and vouchers accepted.</t>
  </si>
  <si>
    <t>Donations, Fees, Grants</t>
  </si>
  <si>
    <t>ADULT PROTECTION AND CARE SERVICES, Adult Day Health Care, Dementia Management, Adult Day Programs, Older Adults</t>
  </si>
  <si>
    <t>Rosener House Adult Day Services</t>
  </si>
  <si>
    <t>Belmont, Burlingame, East Palo Alto</t>
  </si>
  <si>
    <t>Senior citizens age 60 or over, disabled individuals age 18-59</t>
  </si>
  <si>
    <t>Delivers a hot meal to the home of persons age 60 or over who are primarily homebound and unable to prepare their own meals, and have no one to prepare meals. Also, delivers a hot meal to the home of disabled individuals ages 18-59. Meals are delivered between 9 am-1:30 pm, Monday-Friday. Special diets are accommodated: low fat, low sodium, and low sugar.</t>
  </si>
  <si>
    <t>Homebound person unable to cook or shop</t>
  </si>
  <si>
    <t>Suggested donation of $4.25 per meal for seniors 60 or over. Mandatory charge of $2 per meal for disabled individuals ages 18-59.</t>
  </si>
  <si>
    <t>County, Donations</t>
  </si>
  <si>
    <t>ADULT PROTECTION AND CARE SERVICES, Meal Sites/Home-delivered Mea, HEALTH SERVICES, Nutrition, Home Delivered Meals, Older Adults, Disabilities Issues</t>
  </si>
  <si>
    <t>Meals on Wheels - South County</t>
  </si>
  <si>
    <t>Belmont, East Palo Alto</t>
  </si>
  <si>
    <t>Walk in. Proof of residency in California required to receive a library card.</t>
  </si>
  <si>
    <t>Ethnic minorities, especially Spanish speaking</t>
  </si>
  <si>
    <t>Provides general reading material, including bilingual, multi-cultural books, CDs and cassettes, bilingual and Spanish language reference services. School, class and other group visits may be arranged by appointment. The library is a member of the Peninsula Library System.</t>
  </si>
  <si>
    <t>Resident of California to obtain a library card</t>
  </si>
  <si>
    <t>City, County</t>
  </si>
  <si>
    <t>EDUCATION SERVICES, Library, Libraries, Public Libraries</t>
  </si>
  <si>
    <t>Fair Oaks Branch</t>
  </si>
  <si>
    <t>Walk in. Proof of California residency to receive a library card.</t>
  </si>
  <si>
    <t>Provides general reading and media materials, literacy and homework assistance, and programs for all ages. Provides public computers, wireless connectivity, a children's room, teen center, and a local history collection.</t>
  </si>
  <si>
    <t>Resident of California to obtain a card</t>
  </si>
  <si>
    <t>City</t>
  </si>
  <si>
    <t>Main Library</t>
  </si>
  <si>
    <t>Walk in. Proof of California residency required to receive a library card.</t>
  </si>
  <si>
    <t>Provides general reading materials, including large-type books, DVD's and CDs, books on CD and some Spanish language materials to children. Offers children's programs and a Summer Reading Club. Participates in the Peninsula Library System.</t>
  </si>
  <si>
    <t>Resident of California to obtain a library card for borrowing materials</t>
  </si>
  <si>
    <t>Schaberg Branch</t>
  </si>
  <si>
    <t>Walk in or apply by phone, email or webpage registration.</t>
  </si>
  <si>
    <t>Adults, parents, children in 1st-12th grades in the Redwood City school districta</t>
  </si>
  <si>
    <t>Offers an intergenerational literacy program for youth and English-speaking adults seeking to improver literacy skills. Adult services include: adult one-to-one tutoring to improve basic skills in reading, writing and critical thinking; Families for Literacy (FFL), a home-based family literacy program for parents who want to be able to read to their young children; and small group/English as a Second Language (ESL). Youth services include: Youth Tutoring, Families in Partnership (FIP); Teen-to-Elementary Student Tutoring, Kids in Partnership (KIP); and computer-aided literacy. Redwood City Friends of Literacy is a fundraising board that helps to support and to fund Redwood City's Project Read. Call for more information about each service.</t>
  </si>
  <si>
    <t>English-speaking adult reading at or below 7th grade level or child in 1st-12th grade in the Redwood City school districts</t>
  </si>
  <si>
    <t>City, Donations, Federal, Grants, State</t>
  </si>
  <si>
    <t>EDUCATION SERVICES, Adult, Alternative, Literacy, Literacy Programs, Libraries, Public Libraries, Youth</t>
  </si>
  <si>
    <t>Project Read</t>
  </si>
  <si>
    <t>Daly City</t>
  </si>
  <si>
    <t>Depends on availability of tutors for small groups and one-on-one.</t>
  </si>
  <si>
    <t>Provides general reading materials, including large-type books, videos, music cassettes and CDs, and books on tape. Offers children's programs and a Summer Reading Club. Meeting room is available to nonprofit groups. Participates in the Peninsula Library System.</t>
  </si>
  <si>
    <t>Redwood Shores Branch</t>
  </si>
  <si>
    <t>Call for appointment. Referral from human service professional preferred for emergency assistance.</t>
  </si>
  <si>
    <t>Individuals or families with low or no income and/or trying to obtain public assistance</t>
  </si>
  <si>
    <t>Provides food, clothing, bus tokens and shelter to individuals and families in times of crisis from the Redwood City Corps office and community centers throughout the county.</t>
  </si>
  <si>
    <t>None for most services. For emergency assistance, must have low or no income and be willing to apply for public assistance</t>
  </si>
  <si>
    <t>Donations, Grants</t>
  </si>
  <si>
    <t>COMMUNITY SERVICES, Interpretation/Translation, EMERGENCY SERVICES, Shelter/Refuge, FINANCIAL ASSISTANCE SERVICES, Utilities, MENTAL HEALTH SERVICES, Individual/Group Counseling, Food Pantries, Homeless Shelter, Rental Deposit Assistance, Utility Service Payment Assistance</t>
  </si>
  <si>
    <t>Redwood City Corps</t>
  </si>
  <si>
    <t>Up to 20 minutes.</t>
  </si>
  <si>
    <t>Walk in or through other agency referral.</t>
  </si>
  <si>
    <t>Adult alcoholic/drug addictive men and women with social and spiritual problems</t>
  </si>
  <si>
    <t>Provides a long-term (6-12 month) residential rehabilitation program for men and women with substance abuse and other problems. Residents receive individual counseling, and drug and alcohol education. The spiritual side of recovery is addressed through chapel services and Bible study as well as 12-step programs. Nicotine cessation is a part of the program. Residents must be physically able to work, seeking treatment for substance abuse, sober long enough to pass urine drug screen before entering and agreeable to participating in weekly 12-step programs such as Alcoholics Anonymous or Narcotics Anonymous. Pinehurst Lodge is a separate facility for women only. Transition houses for men and women graduates also available.</t>
  </si>
  <si>
    <t>Age 21-60, detoxed, physically able and willing to participate in a work therapy program</t>
  </si>
  <si>
    <t>Donations, Sales</t>
  </si>
  <si>
    <t>ALCOHOLISM SERVICES, Residential Care, DRUG ABUSE SERVICES, Psychiatric Emergency</t>
  </si>
  <si>
    <t>Adult Rehabilitation Center</t>
  </si>
  <si>
    <t>Alameda County, San Mateo County</t>
  </si>
  <si>
    <t>Varies according to available beds for men and women. Women have a longer wait due to small number of beds statewide.</t>
  </si>
  <si>
    <t>Walk in. Written application, identification required for emergency assistance.</t>
  </si>
  <si>
    <t>Provides emergency assistance including food and clothing for persons in immediate need. Provides PG&amp;E assistance through REACH program. Youth programs offer tutoring, music and troops. Information on related resources is available. Also provides rental assistance when funds are available.</t>
  </si>
  <si>
    <t>None for emergency assistance</t>
  </si>
  <si>
    <t>None for emergency services. Vary for after school activities. Cash and checks accepted.</t>
  </si>
  <si>
    <t>COMMODITY SERVICES, Clothing/Personal Items, CHILD PROTECTION AND CARE SERVICES, Day Care, COMMUNITY SERVICES, Information and Referral, EMERGENCY SERVICES, Food Boxes/Food Vouchers, FINANCIAL ASSISTANCE SERVICES, Utilities, RECREATION/LEISURE SERVICES, Camping, Emergency Food, Clothing, Utility Assistance, Youth Development</t>
  </si>
  <si>
    <t>Sunnyvale Corps</t>
  </si>
  <si>
    <t>Call for information.</t>
  </si>
  <si>
    <t>Provides emergency food, clothing and furniture vouchers to low-income families in times of crisis. Administers Project REACH (Relief for Energy Assistance through Community Help) funds to prevent energy shut-off through a one-time payment. Offers a Saturday morning Homeless Feeding Program at 10:30, as well as Sunday services and spiritual counseling. Provides Christmas toys and Back-to-School clothes and supplies. Offers case management, advocacy and referrals to other agencies.</t>
  </si>
  <si>
    <t>Low-income families</t>
  </si>
  <si>
    <t>Donations</t>
  </si>
  <si>
    <t>COMMODITY SERVICES, Clothing/Personal Items, COMMUNITY SERVICES, Information and Referral, EMERGENCY SERVICES, Food Boxes/Food Vouchers, FINANCIAL ASSISTANCE SERVICES, Utilities, Emergency Food, Food Pantries, Furniture, Clothing, Utility Assistance, School Supplies, Case/Care Management, Holiday Programs, Pastoral Counseling, Low Income</t>
  </si>
  <si>
    <t>South San Francisco Citadel Corps</t>
  </si>
  <si>
    <t>Colma, Daly City, South San Francisco</t>
  </si>
  <si>
    <t>Call for screening appointment. Medical visits are by appointment only.</t>
  </si>
  <si>
    <t>By appointment only, Project Smile provides a free dental exam, dental cleaning and oral hygiene instruction for children, age 3-12, of Samaritan House clients.</t>
  </si>
  <si>
    <t>Low-income person without access to health care</t>
  </si>
  <si>
    <t>HEALTH SERVICES, Outpatient Care, Community Clinics</t>
  </si>
  <si>
    <t>Project Smile</t>
  </si>
  <si>
    <t>East Palo Alto</t>
  </si>
  <si>
    <t>Call for screening appointment (650-347-3648).</t>
  </si>
  <si>
    <t>Provides free medical and dental care to those in need. Offers basic medical care for adults. Assists people with problems or questions relating to Medi-Cal, Healthy Families, Healthy Kids, and Medicare.</t>
  </si>
  <si>
    <t>HEALTH SERVICES, Outpatient Care, Community Clinics, Medicare</t>
  </si>
  <si>
    <t>San Mateo Free Medical Clinic</t>
  </si>
  <si>
    <t>Belmont, Burlingame</t>
  </si>
  <si>
    <t>Walk in.</t>
  </si>
  <si>
    <t>no unrequired fields for this service</t>
  </si>
  <si>
    <t>Service with blank fields</t>
  </si>
  <si>
    <t>defunct</t>
  </si>
  <si>
    <t>By phone during business hours.</t>
  </si>
  <si>
    <t>just a test service</t>
  </si>
  <si>
    <t>Service for Admin Test Location</t>
  </si>
  <si>
    <t>inactive</t>
  </si>
  <si>
    <t>Cash, Check, Credit Card</t>
  </si>
  <si>
    <t>Fotos para pasaportes</t>
  </si>
  <si>
    <t>Walk in or apply by phone or mail</t>
  </si>
  <si>
    <t>Profit and nonprofit businesses, the public, military facilities, schools and government entities</t>
  </si>
  <si>
    <t>[NOTE THIS IS NOT A REAL SERVICE--THIS IS FOR TESTING PURPOSES OF THIS ALPHA APP] Lorem ipsum dolor sit amet, consectetur adipiscing elit. Praesent suscipit metus eu orci lobortis dictum. In hac habitasse platea dictumst. Vivamus vulputate, neque ut sodales gravida, lorem nunc pharetra ligula, ac cursus sem justo a sapien. Duis vitae vestibulum magna. Sed vel augue in justo rhoncus viverra. Nam ac felis a purus lobortis porttitor sit amet quis est. Suspendisse vulputate nisl quis nisi fermentum aliquet euismod at augue. Sed ultricies, purus dapibus tristique dictum, tortor mauris porttitor nulla, at porta nisl sem sed dolor. Proin ac hendrerit erat. Duis porta iaculis orci, eu euismod quam tristique in. Phasellus nec purus sit amet sapien volutpat egestas.</t>
  </si>
  <si>
    <t>passports@example.org</t>
  </si>
  <si>
    <t>None, except for permits and photocopying. Cash, checks and credit cards accepted</t>
  </si>
  <si>
    <t>City, County, Federal, State</t>
  </si>
  <si>
    <t>We offer 3-way interpretation services over the phone via Propio Language Services (http://propio-ls.com).</t>
  </si>
  <si>
    <t>Salud, Medicina</t>
  </si>
  <si>
    <t>Spanish</t>
  </si>
  <si>
    <t>Passport Photos</t>
  </si>
  <si>
    <t>Government-issued picture identification</t>
  </si>
  <si>
    <t>No wait to 2 weeks.</t>
  </si>
  <si>
    <t>http://www.example.com</t>
  </si>
  <si>
    <t>105, 108, 108-05, 108-05-01, 111, 111-05</t>
  </si>
  <si>
    <t>Second service and nonprofit businesses, the public, military facilities, schools and government entities</t>
  </si>
  <si>
    <t>[NOTE THIS IS NOT A REAL ORGANIZATION--THIS IS FOR TESTTING PURPOSES OF THIS ALPHA APP] Offers, by appointment, WIC (Women, Infants and Children) services, insurance enrollment, food stamps, CalWorks assistance, tax preparation and notary services. Lorem ipsum dolor sit amet, consectetur adipiscing elit. Praesent suscipit metus eu orci lobortis dictum. In hac habitasse platea dictumst. Vivamus vulputate, neque ut sodales gravida, lorem nunc pharetra ligula, ac cursus sem justo a sapien. Duis vitae vestibulum magna. Sed vel augue in justo rhoncus viverra. Nam ac felis a purus lobortis porttitor sit amet quis est. Suspendisse vulputate nisl quis nisi fermentum aliquet euismod at augue. Sed ultricies, purus dapibus tristique dictum, tortor mauris porttitor nulla, at porta nisl sem sed dolor. Proin ac hendrerit erat. Duis porta iaculis orci, eu euismod quam tristique in. Phasellus nec purus sit amet sapien volutpat egestas.</t>
  </si>
  <si>
    <t>Ruby on Rails/Postgres/Redis, testing, wic</t>
  </si>
  <si>
    <t>Example Service Name</t>
  </si>
  <si>
    <t>San Mateo County, Alameda County</t>
  </si>
  <si>
    <t>No wait to 2 weeks</t>
  </si>
  <si>
    <t>DataFrame</t>
  </si>
  <si>
    <r>
      <t>Load Data From "</t>
    </r>
    <r>
      <rPr>
        <b/>
        <u/>
        <sz val="11"/>
        <color theme="1"/>
        <rFont val="Calibri"/>
        <family val="2"/>
        <scheme val="minor"/>
      </rPr>
      <t>Data</t>
    </r>
    <r>
      <rPr>
        <u/>
        <sz val="11"/>
        <color theme="1"/>
        <rFont val="Calibri"/>
        <family val="2"/>
        <scheme val="minor"/>
      </rPr>
      <t xml:space="preserve">" Tab Choose File </t>
    </r>
  </si>
  <si>
    <t>Head</t>
  </si>
  <si>
    <t>Tail</t>
  </si>
  <si>
    <t>PassengerId</t>
  </si>
  <si>
    <t>Survived</t>
  </si>
  <si>
    <t>Pclass</t>
  </si>
  <si>
    <t>Name</t>
  </si>
  <si>
    <t>Sex</t>
  </si>
  <si>
    <t>Age</t>
  </si>
  <si>
    <t>SibSp</t>
  </si>
  <si>
    <t>Parch</t>
  </si>
  <si>
    <t>Ticket</t>
  </si>
  <si>
    <t>Fare</t>
  </si>
  <si>
    <t>Cabin</t>
  </si>
  <si>
    <t>Embarked</t>
  </si>
  <si>
    <t>Braund, Mr. Owen Harris</t>
  </si>
  <si>
    <t>male</t>
  </si>
  <si>
    <t>A/5 21171</t>
  </si>
  <si>
    <t>S</t>
  </si>
  <si>
    <t>Cumings, Mrs. John Bradley (Florence Briggs Thayer)</t>
  </si>
  <si>
    <t>female</t>
  </si>
  <si>
    <t>PC 17599</t>
  </si>
  <si>
    <t>C85</t>
  </si>
  <si>
    <t>C</t>
  </si>
  <si>
    <t>Heikkinen, Miss. Laina</t>
  </si>
  <si>
    <t>STON/O2. 3101282</t>
  </si>
  <si>
    <t>Futrelle, Mrs. Jacques Heath (Lily May Peel)</t>
  </si>
  <si>
    <t>113803</t>
  </si>
  <si>
    <t>C123</t>
  </si>
  <si>
    <t>Allen, Mr. William Henry</t>
  </si>
  <si>
    <t>373450</t>
  </si>
  <si>
    <t>Moran, Mr. James</t>
  </si>
  <si>
    <t>330877</t>
  </si>
  <si>
    <t>Q</t>
  </si>
  <si>
    <t>McCarthy, Mr. Timothy J</t>
  </si>
  <si>
    <t>17463</t>
  </si>
  <si>
    <t>E46</t>
  </si>
  <si>
    <t>Palsson, Master. Gosta Leonard</t>
  </si>
  <si>
    <t>349909</t>
  </si>
  <si>
    <t>Johnson, Mrs. Oscar W (Elisabeth Vilhelmina Berg)</t>
  </si>
  <si>
    <t>347742</t>
  </si>
  <si>
    <t>Nasser, Mrs. Nicholas (Adele Achem)</t>
  </si>
  <si>
    <t>237736</t>
  </si>
  <si>
    <t>Sandstrom, Miss. Marguerite Rut</t>
  </si>
  <si>
    <t>PP 9549</t>
  </si>
  <si>
    <t>G6</t>
  </si>
  <si>
    <t>Bonnell, Miss. Elizabeth</t>
  </si>
  <si>
    <t>113783</t>
  </si>
  <si>
    <t>C103</t>
  </si>
  <si>
    <t>Saundercock, Mr. William Henry</t>
  </si>
  <si>
    <t>A/5. 2151</t>
  </si>
  <si>
    <t>Andersson, Mr. Anders Johan</t>
  </si>
  <si>
    <t>347082</t>
  </si>
  <si>
    <t>Vestrom, Miss. Hulda Amanda Adolfina</t>
  </si>
  <si>
    <t>350406</t>
  </si>
  <si>
    <t xml:space="preserve">Hewlett, Mrs. (Mary D Kingcome) </t>
  </si>
  <si>
    <t>248706</t>
  </si>
  <si>
    <t>Rice, Master. Eugene</t>
  </si>
  <si>
    <t>382652</t>
  </si>
  <si>
    <t>Williams, Mr. Charles Eugene</t>
  </si>
  <si>
    <t>244373</t>
  </si>
  <si>
    <t>Vander Planke, Mrs. Julius (Emelia Maria Vandemoortele)</t>
  </si>
  <si>
    <t>345763</t>
  </si>
  <si>
    <t>Masselmani, Mrs. Fatima</t>
  </si>
  <si>
    <t>2649</t>
  </si>
  <si>
    <t>Fynney, Mr. Joseph J</t>
  </si>
  <si>
    <t>239865</t>
  </si>
  <si>
    <t>Beesley, Mr. Lawrence</t>
  </si>
  <si>
    <t>248698</t>
  </si>
  <si>
    <t>D56</t>
  </si>
  <si>
    <t>McGowan, Miss. Anna "Annie"</t>
  </si>
  <si>
    <t>330923</t>
  </si>
  <si>
    <t>Sloper, Mr. William Thompson</t>
  </si>
  <si>
    <t>113788</t>
  </si>
  <si>
    <t>A6</t>
  </si>
  <si>
    <t>Palsson, Miss. Torborg Danira</t>
  </si>
  <si>
    <t>Asplund, Mrs. Carl Oscar (Selma Augusta Emilia Johansson)</t>
  </si>
  <si>
    <t>347077</t>
  </si>
  <si>
    <t>Emir, Mr. Farred Chehab</t>
  </si>
  <si>
    <t>2631</t>
  </si>
  <si>
    <t>Fortune, Mr. Charles Alexander</t>
  </si>
  <si>
    <t>19950</t>
  </si>
  <si>
    <t>C23 C25 C27</t>
  </si>
  <si>
    <t>O'Dwyer, Miss. Ellen "Nellie"</t>
  </si>
  <si>
    <t>330959</t>
  </si>
  <si>
    <t>Todoroff, Mr. Lalio</t>
  </si>
  <si>
    <t>349216</t>
  </si>
  <si>
    <t>Uruchurtu, Don. Manuel E</t>
  </si>
  <si>
    <t>PC 17601</t>
  </si>
  <si>
    <t>Spencer, Mrs. William Augustus (Marie Eugenie)</t>
  </si>
  <si>
    <t>PC 17569</t>
  </si>
  <si>
    <t>B78</t>
  </si>
  <si>
    <t>Glynn, Miss. Mary Agatha</t>
  </si>
  <si>
    <t>335677</t>
  </si>
  <si>
    <t>Wheadon, Mr. Edward H</t>
  </si>
  <si>
    <t>C.A. 24579</t>
  </si>
  <si>
    <t>Meyer, Mr. Edgar Joseph</t>
  </si>
  <si>
    <t>PC 17604</t>
  </si>
  <si>
    <t>Holverson, Mr. Alexander Oskar</t>
  </si>
  <si>
    <t>113789</t>
  </si>
  <si>
    <t>Mamee, Mr. Hanna</t>
  </si>
  <si>
    <t>2677</t>
  </si>
  <si>
    <t>Cann, Mr. Ernest Charles</t>
  </si>
  <si>
    <t>A./5. 2152</t>
  </si>
  <si>
    <t>Vander Planke, Miss. Augusta Maria</t>
  </si>
  <si>
    <t>345764</t>
  </si>
  <si>
    <t>Nicola-Yarred, Miss. Jamila</t>
  </si>
  <si>
    <t>2651</t>
  </si>
  <si>
    <t>Ahlin, Mrs. Johan (Johanna Persdotter Larsson)</t>
  </si>
  <si>
    <t>7546</t>
  </si>
  <si>
    <t>Turpin, Mrs. William John Robert (Dorothy Ann Wonnacott)</t>
  </si>
  <si>
    <t>11668</t>
  </si>
  <si>
    <t>Kraeff, Mr. Theodor</t>
  </si>
  <si>
    <t>349253</t>
  </si>
  <si>
    <t>Laroche, Miss. Simonne Marie Anne Andree</t>
  </si>
  <si>
    <t>SC/Paris 2123</t>
  </si>
  <si>
    <t>Devaney, Miss. Margaret Delia</t>
  </si>
  <si>
    <t>330958</t>
  </si>
  <si>
    <t>Rogers, Mr. William John</t>
  </si>
  <si>
    <t>S.C./A.4. 23567</t>
  </si>
  <si>
    <t>Lennon, Mr. Denis</t>
  </si>
  <si>
    <t>370371</t>
  </si>
  <si>
    <t>O'Driscoll, Miss. Bridget</t>
  </si>
  <si>
    <t>14311</t>
  </si>
  <si>
    <t>Samaan, Mr. Youssef</t>
  </si>
  <si>
    <t>2662</t>
  </si>
  <si>
    <t>Arnold-Franchi, Mrs. Josef (Josefine Franchi)</t>
  </si>
  <si>
    <t>349237</t>
  </si>
  <si>
    <t>Panula, Master. Juha Niilo</t>
  </si>
  <si>
    <t>3101295</t>
  </si>
  <si>
    <t>Nosworthy, Mr. Richard Cater</t>
  </si>
  <si>
    <t>A/4. 39886</t>
  </si>
  <si>
    <t>Harper, Mrs. Henry Sleeper (Myna Haxtun)</t>
  </si>
  <si>
    <t>PC 17572</t>
  </si>
  <si>
    <t>D33</t>
  </si>
  <si>
    <t>Faunthorpe, Mrs. Lizzie (Elizabeth Anne Wilkinson)</t>
  </si>
  <si>
    <t>2926</t>
  </si>
  <si>
    <t>Ostby, Mr. Engelhart Cornelius</t>
  </si>
  <si>
    <t>113509</t>
  </si>
  <si>
    <t>B30</t>
  </si>
  <si>
    <t>Woolner, Mr. Hugh</t>
  </si>
  <si>
    <t>19947</t>
  </si>
  <si>
    <t>C52</t>
  </si>
  <si>
    <t>Rugg, Miss. Emily</t>
  </si>
  <si>
    <t>C.A. 31026</t>
  </si>
  <si>
    <t>Novel, Mr. Mansouer</t>
  </si>
  <si>
    <t>2697</t>
  </si>
  <si>
    <t>West, Miss. Constance Mirium</t>
  </si>
  <si>
    <t>C.A. 34651</t>
  </si>
  <si>
    <t>Goodwin, Master. William Frederick</t>
  </si>
  <si>
    <t>CA 2144</t>
  </si>
  <si>
    <t>Sirayanian, Mr. Orsen</t>
  </si>
  <si>
    <t>2669</t>
  </si>
  <si>
    <t>Icard, Miss. Amelie</t>
  </si>
  <si>
    <t>113572</t>
  </si>
  <si>
    <t>B28</t>
  </si>
  <si>
    <t>Harris, Mr. Henry Birkhardt</t>
  </si>
  <si>
    <t>36973</t>
  </si>
  <si>
    <t>C83</t>
  </si>
  <si>
    <t>Skoog, Master. Harald</t>
  </si>
  <si>
    <t>347088</t>
  </si>
  <si>
    <t>Stewart, Mr. Albert A</t>
  </si>
  <si>
    <t>PC 17605</t>
  </si>
  <si>
    <t>Moubarek, Master. Gerios</t>
  </si>
  <si>
    <t>2661</t>
  </si>
  <si>
    <t>Nye, Mrs. (Elizabeth Ramell)</t>
  </si>
  <si>
    <t>C.A. 29395</t>
  </si>
  <si>
    <t>F33</t>
  </si>
  <si>
    <t>Crease, Mr. Ernest James</t>
  </si>
  <si>
    <t>S.P. 3464</t>
  </si>
  <si>
    <t>Andersson, Miss. Erna Alexandra</t>
  </si>
  <si>
    <t>3101281</t>
  </si>
  <si>
    <t>Kink, Mr. Vincenz</t>
  </si>
  <si>
    <t>315151</t>
  </si>
  <si>
    <t>Jenkin, Mr. Stephen Curnow</t>
  </si>
  <si>
    <t>C.A. 33111</t>
  </si>
  <si>
    <t>Goodwin, Miss. Lillian Amy</t>
  </si>
  <si>
    <t>Hood, Mr. Ambrose Jr</t>
  </si>
  <si>
    <t>S.O.C. 14879</t>
  </si>
  <si>
    <t>Chronopoulos, Mr. Apostolos</t>
  </si>
  <si>
    <t>2680</t>
  </si>
  <si>
    <t>Bing, Mr. Lee</t>
  </si>
  <si>
    <t>1601</t>
  </si>
  <si>
    <t>Moen, Mr. Sigurd Hansen</t>
  </si>
  <si>
    <t>348123</t>
  </si>
  <si>
    <t>F G73</t>
  </si>
  <si>
    <t>Staneff, Mr. Ivan</t>
  </si>
  <si>
    <t>349208</t>
  </si>
  <si>
    <t>Moutal, Mr. Rahamin Haim</t>
  </si>
  <si>
    <t>374746</t>
  </si>
  <si>
    <t>Caldwell, Master. Alden Gates</t>
  </si>
  <si>
    <t>248738</t>
  </si>
  <si>
    <t>Dowdell, Miss. Elizabeth</t>
  </si>
  <si>
    <t>364516</t>
  </si>
  <si>
    <t>Waelens, Mr. Achille</t>
  </si>
  <si>
    <t>345767</t>
  </si>
  <si>
    <t>Sheerlinck, Mr. Jan Baptist</t>
  </si>
  <si>
    <t>345779</t>
  </si>
  <si>
    <t>McDermott, Miss. Brigdet Delia</t>
  </si>
  <si>
    <t>330932</t>
  </si>
  <si>
    <t>Carrau, Mr. Francisco M</t>
  </si>
  <si>
    <t>113059</t>
  </si>
  <si>
    <t>Ilett, Miss. Bertha</t>
  </si>
  <si>
    <t>SO/C 14885</t>
  </si>
  <si>
    <t>Backstrom, Mrs. Karl Alfred (Maria Mathilda Gustafsson)</t>
  </si>
  <si>
    <t>3101278</t>
  </si>
  <si>
    <t>Ford, Mr. William Neal</t>
  </si>
  <si>
    <t>W./C. 6608</t>
  </si>
  <si>
    <t>Slocovski, Mr. Selman Francis</t>
  </si>
  <si>
    <t>SOTON/OQ 392086</t>
  </si>
  <si>
    <t>Fortune, Miss. Mabel Helen</t>
  </si>
  <si>
    <t>Celotti, Mr. Francesco</t>
  </si>
  <si>
    <t>343275</t>
  </si>
  <si>
    <t>Christmann, Mr. Emil</t>
  </si>
  <si>
    <t>343276</t>
  </si>
  <si>
    <t>Andreasson, Mr. Paul Edvin</t>
  </si>
  <si>
    <t>347466</t>
  </si>
  <si>
    <t>Chaffee, Mr. Herbert Fuller</t>
  </si>
  <si>
    <t>W.E.P. 5734</t>
  </si>
  <si>
    <t>E31</t>
  </si>
  <si>
    <t>Dean, Mr. Bertram Frank</t>
  </si>
  <si>
    <t>C.A. 2315</t>
  </si>
  <si>
    <t>Coxon, Mr. Daniel</t>
  </si>
  <si>
    <t>364500</t>
  </si>
  <si>
    <t>Shorney, Mr. Charles Joseph</t>
  </si>
  <si>
    <t>374910</t>
  </si>
  <si>
    <t>Goldschmidt, Mr. George B</t>
  </si>
  <si>
    <t>PC 17754</t>
  </si>
  <si>
    <t>A5</t>
  </si>
  <si>
    <t>Greenfield, Mr. William Bertram</t>
  </si>
  <si>
    <t>PC 17759</t>
  </si>
  <si>
    <t>D10 D12</t>
  </si>
  <si>
    <t>Doling, Mrs. John T (Ada Julia Bone)</t>
  </si>
  <si>
    <t>231919</t>
  </si>
  <si>
    <t>Kantor, Mr. Sinai</t>
  </si>
  <si>
    <t>244367</t>
  </si>
  <si>
    <t>Petranec, Miss. Matilda</t>
  </si>
  <si>
    <t>349245</t>
  </si>
  <si>
    <t>Petroff, Mr. Pastcho ("Pentcho")</t>
  </si>
  <si>
    <t>349215</t>
  </si>
  <si>
    <t>White, Mr. Richard Frasar</t>
  </si>
  <si>
    <t>35281</t>
  </si>
  <si>
    <t>D26</t>
  </si>
  <si>
    <t>Johansson, Mr. Gustaf Joel</t>
  </si>
  <si>
    <t>7540</t>
  </si>
  <si>
    <t>Gustafsson, Mr. Anders Vilhelm</t>
  </si>
  <si>
    <t>3101276</t>
  </si>
  <si>
    <t>Mionoff, Mr. Stoytcho</t>
  </si>
  <si>
    <t>349207</t>
  </si>
  <si>
    <t>Salkjelsvik, Miss. Anna Kristine</t>
  </si>
  <si>
    <t>343120</t>
  </si>
  <si>
    <t>Moss, Mr. Albert Johan</t>
  </si>
  <si>
    <t>312991</t>
  </si>
  <si>
    <t>Rekic, Mr. Tido</t>
  </si>
  <si>
    <t>349249</t>
  </si>
  <si>
    <t>Moran, Miss. Bertha</t>
  </si>
  <si>
    <t>371110</t>
  </si>
  <si>
    <t>Porter, Mr. Walter Chamberlain</t>
  </si>
  <si>
    <t>110465</t>
  </si>
  <si>
    <t>C110</t>
  </si>
  <si>
    <t>Zabour, Miss. Hileni</t>
  </si>
  <si>
    <t>2665</t>
  </si>
  <si>
    <t>Barton, Mr. David John</t>
  </si>
  <si>
    <t>324669</t>
  </si>
  <si>
    <t>Jussila, Miss. Katriina</t>
  </si>
  <si>
    <t>4136</t>
  </si>
  <si>
    <t>Attalah, Miss. Malake</t>
  </si>
  <si>
    <t>2627</t>
  </si>
  <si>
    <t>Pekoniemi, Mr. Edvard</t>
  </si>
  <si>
    <t>STON/O 2. 3101294</t>
  </si>
  <si>
    <t>Connors, Mr. Patrick</t>
  </si>
  <si>
    <t>370369</t>
  </si>
  <si>
    <t>Turpin, Mr. William John Robert</t>
  </si>
  <si>
    <t>Baxter, Mr. Quigg Edmond</t>
  </si>
  <si>
    <t>PC 17558</t>
  </si>
  <si>
    <t>B58 B60</t>
  </si>
  <si>
    <t>Andersson, Miss. Ellis Anna Maria</t>
  </si>
  <si>
    <t>Hickman, Mr. Stanley George</t>
  </si>
  <si>
    <t>Moore, Mr. Leonard Charles</t>
  </si>
  <si>
    <t>A4. 54510</t>
  </si>
  <si>
    <t>Nasser, Mr. Nicholas</t>
  </si>
  <si>
    <t>Webber, Miss. Susan</t>
  </si>
  <si>
    <t>27267</t>
  </si>
  <si>
    <t>E101</t>
  </si>
  <si>
    <t>White, Mr. Percival Wayland</t>
  </si>
  <si>
    <t>Nicola-Yarred, Master. Elias</t>
  </si>
  <si>
    <t>McMahon, Mr. Martin</t>
  </si>
  <si>
    <t>370372</t>
  </si>
  <si>
    <t>Madsen, Mr. Fridtjof Arne</t>
  </si>
  <si>
    <t>C 17369</t>
  </si>
  <si>
    <t>Peter, Miss. Anna</t>
  </si>
  <si>
    <t>2668</t>
  </si>
  <si>
    <t>F E69</t>
  </si>
  <si>
    <t>Ekstrom, Mr. Johan</t>
  </si>
  <si>
    <t>347061</t>
  </si>
  <si>
    <t>Drazenoic, Mr. Jozef</t>
  </si>
  <si>
    <t>349241</t>
  </si>
  <si>
    <t>Coelho, Mr. Domingos Fernandeo</t>
  </si>
  <si>
    <t>SOTON/O.Q. 3101307</t>
  </si>
  <si>
    <t>Robins, Mrs. Alexander A (Grace Charity Laury)</t>
  </si>
  <si>
    <t>A/5. 3337</t>
  </si>
  <si>
    <t>Weisz, Mrs. Leopold (Mathilde Francoise Pede)</t>
  </si>
  <si>
    <t>228414</t>
  </si>
  <si>
    <t>Sobey, Mr. Samuel James Hayden</t>
  </si>
  <si>
    <t>C.A. 29178</t>
  </si>
  <si>
    <t>Richard, Mr. Emile</t>
  </si>
  <si>
    <t>SC/PARIS 2133</t>
  </si>
  <si>
    <t>Newsom, Miss. Helen Monypeny</t>
  </si>
  <si>
    <t>11752</t>
  </si>
  <si>
    <t>D47</t>
  </si>
  <si>
    <t>Futrelle, Mr. Jacques Heath</t>
  </si>
  <si>
    <t>Osen, Mr. Olaf Elon</t>
  </si>
  <si>
    <t>7534</t>
  </si>
  <si>
    <t>Giglio, Mr. Victor</t>
  </si>
  <si>
    <t>PC 17593</t>
  </si>
  <si>
    <t>B86</t>
  </si>
  <si>
    <t>Boulos, Mrs. Joseph (Sultana)</t>
  </si>
  <si>
    <t>2678</t>
  </si>
  <si>
    <t>Nysten, Miss. Anna Sofia</t>
  </si>
  <si>
    <t>347081</t>
  </si>
  <si>
    <t>Hakkarainen, Mrs. Pekka Pietari (Elin Matilda Dolck)</t>
  </si>
  <si>
    <t>STON/O2. 3101279</t>
  </si>
  <si>
    <t>Burke, Mr. Jeremiah</t>
  </si>
  <si>
    <t>365222</t>
  </si>
  <si>
    <t>Andrew, Mr. Edgardo Samuel</t>
  </si>
  <si>
    <t>231945</t>
  </si>
  <si>
    <t>Nicholls, Mr. Joseph Charles</t>
  </si>
  <si>
    <t>C.A. 33112</t>
  </si>
  <si>
    <t>Andersson, Mr. August Edvard ("Wennerstrom")</t>
  </si>
  <si>
    <t>350043</t>
  </si>
  <si>
    <t>Ford, Miss. Robina Maggie "Ruby"</t>
  </si>
  <si>
    <t>Navratil, Mr. Michel ("Louis M Hoffman")</t>
  </si>
  <si>
    <t>230080</t>
  </si>
  <si>
    <t>F2</t>
  </si>
  <si>
    <t>Byles, Rev. Thomas Roussel Davids</t>
  </si>
  <si>
    <t>244310</t>
  </si>
  <si>
    <t>Bateman, Rev. Robert James</t>
  </si>
  <si>
    <t>S.O.P. 1166</t>
  </si>
  <si>
    <t>Pears, Mrs. Thomas (Edith Wearne)</t>
  </si>
  <si>
    <t>113776</t>
  </si>
  <si>
    <t>C2</t>
  </si>
  <si>
    <t>Meo, Mr. Alfonzo</t>
  </si>
  <si>
    <t>A.5. 11206</t>
  </si>
  <si>
    <t>van Billiard, Mr. Austin Blyler</t>
  </si>
  <si>
    <t>A/5. 851</t>
  </si>
  <si>
    <t>Olsen, Mr. Ole Martin</t>
  </si>
  <si>
    <t>Fa 265302</t>
  </si>
  <si>
    <t>Williams, Mr. Charles Duane</t>
  </si>
  <si>
    <t>PC 17597</t>
  </si>
  <si>
    <t>Gilnagh, Miss. Katherine "Katie"</t>
  </si>
  <si>
    <t>35851</t>
  </si>
  <si>
    <t>Corn, Mr. Harry</t>
  </si>
  <si>
    <t>SOTON/OQ 392090</t>
  </si>
  <si>
    <t>Smiljanic, Mr. Mile</t>
  </si>
  <si>
    <t>315037</t>
  </si>
  <si>
    <t>Sage, Master. Thomas Henry</t>
  </si>
  <si>
    <t>CA. 2343</t>
  </si>
  <si>
    <t>Cribb, Mr. John Hatfield</t>
  </si>
  <si>
    <t>371362</t>
  </si>
  <si>
    <t>Watt, Mrs. James (Elizabeth "Bessie" Inglis Milne)</t>
  </si>
  <si>
    <t>C.A. 33595</t>
  </si>
  <si>
    <t>Bengtsson, Mr. John Viktor</t>
  </si>
  <si>
    <t>347068</t>
  </si>
  <si>
    <t>Calic, Mr. Jovo</t>
  </si>
  <si>
    <t>315093</t>
  </si>
  <si>
    <t>Panula, Master. Eino Viljami</t>
  </si>
  <si>
    <t>Goldsmith, Master. Frank John William "Frankie"</t>
  </si>
  <si>
    <t>363291</t>
  </si>
  <si>
    <t>Chibnall, Mrs. (Edith Martha Bowerman)</t>
  </si>
  <si>
    <t>113505</t>
  </si>
  <si>
    <t>E33</t>
  </si>
  <si>
    <t>Skoog, Mrs. William (Anna Bernhardina Karlsson)</t>
  </si>
  <si>
    <t>Baumann, Mr. John D</t>
  </si>
  <si>
    <t>PC 17318</t>
  </si>
  <si>
    <t>Ling, Mr. Lee</t>
  </si>
  <si>
    <t>Van der hoef, Mr. Wyckoff</t>
  </si>
  <si>
    <t>111240</t>
  </si>
  <si>
    <t>B19</t>
  </si>
  <si>
    <t>Rice, Master. Arthur</t>
  </si>
  <si>
    <t>Johnson, Miss. Eleanor Ileen</t>
  </si>
  <si>
    <t>Sivola, Mr. Antti Wilhelm</t>
  </si>
  <si>
    <t>STON/O 2. 3101280</t>
  </si>
  <si>
    <t>Smith, Mr. James Clinch</t>
  </si>
  <si>
    <t>17764</t>
  </si>
  <si>
    <t>A7</t>
  </si>
  <si>
    <t>Klasen, Mr. Klas Albin</t>
  </si>
  <si>
    <t>350404</t>
  </si>
  <si>
    <t>Lefebre, Master. Henry Forbes</t>
  </si>
  <si>
    <t>4133</t>
  </si>
  <si>
    <t>Isham, Miss. Ann Elizabeth</t>
  </si>
  <si>
    <t>PC 17595</t>
  </si>
  <si>
    <t>C49</t>
  </si>
  <si>
    <t>Hale, Mr. Reginald</t>
  </si>
  <si>
    <t>250653</t>
  </si>
  <si>
    <t>Leonard, Mr. Lionel</t>
  </si>
  <si>
    <t>LINE</t>
  </si>
  <si>
    <t>Sage, Miss. Constance Gladys</t>
  </si>
  <si>
    <t>Pernot, Mr. Rene</t>
  </si>
  <si>
    <t>SC/PARIS 2131</t>
  </si>
  <si>
    <t>Asplund, Master. Clarence Gustaf Hugo</t>
  </si>
  <si>
    <t>Becker, Master. Richard F</t>
  </si>
  <si>
    <t>230136</t>
  </si>
  <si>
    <t>F4</t>
  </si>
  <si>
    <t>Kink-Heilmann, Miss. Luise Gretchen</t>
  </si>
  <si>
    <t>315153</t>
  </si>
  <si>
    <t>Rood, Mr. Hugh Roscoe</t>
  </si>
  <si>
    <t>113767</t>
  </si>
  <si>
    <t>A32</t>
  </si>
  <si>
    <t>O'Brien, Mrs. Thomas (Johanna "Hannah" Godfrey)</t>
  </si>
  <si>
    <t>370365</t>
  </si>
  <si>
    <t>Romaine, Mr. Charles Hallace ("Mr C Rolmane")</t>
  </si>
  <si>
    <t>111428</t>
  </si>
  <si>
    <t>Bourke, Mr. John</t>
  </si>
  <si>
    <t>364849</t>
  </si>
  <si>
    <t>Turcin, Mr. Stjepan</t>
  </si>
  <si>
    <t>349247</t>
  </si>
  <si>
    <t>Pinsky, Mrs. (Rosa)</t>
  </si>
  <si>
    <t>234604</t>
  </si>
  <si>
    <t>Carbines, Mr. William</t>
  </si>
  <si>
    <t>28424</t>
  </si>
  <si>
    <t>Andersen-Jensen, Miss. Carla Christine Nielsine</t>
  </si>
  <si>
    <t>350046</t>
  </si>
  <si>
    <t>Navratil, Master. Michel M</t>
  </si>
  <si>
    <t>Brown, Mrs. James Joseph (Margaret Tobin)</t>
  </si>
  <si>
    <t>PC 17610</t>
  </si>
  <si>
    <t>B4</t>
  </si>
  <si>
    <t>Lurette, Miss. Elise</t>
  </si>
  <si>
    <t>B80</t>
  </si>
  <si>
    <t>Mernagh, Mr. Robert</t>
  </si>
  <si>
    <t>368703</t>
  </si>
  <si>
    <t>Olsen, Mr. Karl Siegwart Andreas</t>
  </si>
  <si>
    <t>4579</t>
  </si>
  <si>
    <t>Madigan, Miss. Margaret "Maggie"</t>
  </si>
  <si>
    <t>370370</t>
  </si>
  <si>
    <t>Yrois, Miss. Henriette ("Mrs Harbeck")</t>
  </si>
  <si>
    <t>248747</t>
  </si>
  <si>
    <t>Vande Walle, Mr. Nestor Cyriel</t>
  </si>
  <si>
    <t>345770</t>
  </si>
  <si>
    <t>Sage, Mr. Frederick</t>
  </si>
  <si>
    <t>Johanson, Mr. Jakob Alfred</t>
  </si>
  <si>
    <t>3101264</t>
  </si>
  <si>
    <t>Youseff, Mr. Gerious</t>
  </si>
  <si>
    <t>2628</t>
  </si>
  <si>
    <t>Cohen, Mr. Gurshon "Gus"</t>
  </si>
  <si>
    <t>A/5 3540</t>
  </si>
  <si>
    <t>Strom, Miss. Telma Matilda</t>
  </si>
  <si>
    <t>347054</t>
  </si>
  <si>
    <t>Backstrom, Mr. Karl Alfred</t>
  </si>
  <si>
    <t>Albimona, Mr. Nassef Cassem</t>
  </si>
  <si>
    <t>2699</t>
  </si>
  <si>
    <t>Carr, Miss. Helen "Ellen"</t>
  </si>
  <si>
    <t>367231</t>
  </si>
  <si>
    <t>Blank, Mr. Henry</t>
  </si>
  <si>
    <t>112277</t>
  </si>
  <si>
    <t>A31</t>
  </si>
  <si>
    <t>Ali, Mr. Ahmed</t>
  </si>
  <si>
    <t>SOTON/O.Q. 3101311</t>
  </si>
  <si>
    <t>Cameron, Miss. Clear Annie</t>
  </si>
  <si>
    <t>F.C.C. 13528</t>
  </si>
  <si>
    <t>Perkin, Mr. John Henry</t>
  </si>
  <si>
    <t>A/5 21174</t>
  </si>
  <si>
    <t>Givard, Mr. Hans Kristensen</t>
  </si>
  <si>
    <t>250646</t>
  </si>
  <si>
    <t>Kiernan, Mr. Philip</t>
  </si>
  <si>
    <t>367229</t>
  </si>
  <si>
    <t>Newell, Miss. Madeleine</t>
  </si>
  <si>
    <t>35273</t>
  </si>
  <si>
    <t>D36</t>
  </si>
  <si>
    <t>Honkanen, Miss. Eliina</t>
  </si>
  <si>
    <t>STON/O2. 3101283</t>
  </si>
  <si>
    <t>Jacobsohn, Mr. Sidney Samuel</t>
  </si>
  <si>
    <t>243847</t>
  </si>
  <si>
    <t>Bazzani, Miss. Albina</t>
  </si>
  <si>
    <t>11813</t>
  </si>
  <si>
    <t>D15</t>
  </si>
  <si>
    <t>Harris, Mr. Walter</t>
  </si>
  <si>
    <t>W/C 14208</t>
  </si>
  <si>
    <t>Sunderland, Mr. Victor Francis</t>
  </si>
  <si>
    <t>SOTON/OQ 392089</t>
  </si>
  <si>
    <t>Bracken, Mr. James H</t>
  </si>
  <si>
    <t>220367</t>
  </si>
  <si>
    <t>Green, Mr. George Henry</t>
  </si>
  <si>
    <t>21440</t>
  </si>
  <si>
    <t>Nenkoff, Mr. Christo</t>
  </si>
  <si>
    <t>349234</t>
  </si>
  <si>
    <t>Hoyt, Mr. Frederick Maxfield</t>
  </si>
  <si>
    <t>19943</t>
  </si>
  <si>
    <t>C93</t>
  </si>
  <si>
    <t>Berglund, Mr. Karl Ivar Sven</t>
  </si>
  <si>
    <t>PP 4348</t>
  </si>
  <si>
    <t>Mellors, Mr. William John</t>
  </si>
  <si>
    <t>SW/PP 751</t>
  </si>
  <si>
    <t>Lovell, Mr. John Hall ("Henry")</t>
  </si>
  <si>
    <t>A/5 21173</t>
  </si>
  <si>
    <t>Fahlstrom, Mr. Arne Jonas</t>
  </si>
  <si>
    <t>236171</t>
  </si>
  <si>
    <t>Lefebre, Miss. Mathilde</t>
  </si>
  <si>
    <t>Harris, Mrs. Henry Birkhardt (Irene Wallach)</t>
  </si>
  <si>
    <t>Larsson, Mr. Bengt Edvin</t>
  </si>
  <si>
    <t>347067</t>
  </si>
  <si>
    <t>Sjostedt, Mr. Ernst Adolf</t>
  </si>
  <si>
    <t>237442</t>
  </si>
  <si>
    <t>Asplund, Miss. Lillian Gertrud</t>
  </si>
  <si>
    <t>Leyson, Mr. Robert William Norman</t>
  </si>
  <si>
    <t>C.A. 29566</t>
  </si>
  <si>
    <t>Harknett, Miss. Alice Phoebe</t>
  </si>
  <si>
    <t>W./C. 6609</t>
  </si>
  <si>
    <t>Hold, Mr. Stephen</t>
  </si>
  <si>
    <t>26707</t>
  </si>
  <si>
    <t>Collyer, Miss. Marjorie "Lottie"</t>
  </si>
  <si>
    <t>C.A. 31921</t>
  </si>
  <si>
    <t>Pengelly, Mr. Frederick William</t>
  </si>
  <si>
    <t>28665</t>
  </si>
  <si>
    <t>Hunt, Mr. George Henry</t>
  </si>
  <si>
    <t>SCO/W 1585</t>
  </si>
  <si>
    <t>Zabour, Miss. Thamine</t>
  </si>
  <si>
    <t>Murphy, Miss. Katherine "Kate"</t>
  </si>
  <si>
    <t>367230</t>
  </si>
  <si>
    <t>Coleridge, Mr. Reginald Charles</t>
  </si>
  <si>
    <t>W./C. 14263</t>
  </si>
  <si>
    <t>Maenpaa, Mr. Matti Alexanteri</t>
  </si>
  <si>
    <t>STON/O 2. 3101275</t>
  </si>
  <si>
    <t>Attalah, Mr. Sleiman</t>
  </si>
  <si>
    <t>2694</t>
  </si>
  <si>
    <t>Minahan, Dr. William Edward</t>
  </si>
  <si>
    <t>19928</t>
  </si>
  <si>
    <t>C78</t>
  </si>
  <si>
    <t>Lindahl, Miss. Agda Thorilda Viktoria</t>
  </si>
  <si>
    <t>347071</t>
  </si>
  <si>
    <t>Hamalainen, Mrs. William (Anna)</t>
  </si>
  <si>
    <t>250649</t>
  </si>
  <si>
    <t>Beckwith, Mr. Richard Leonard</t>
  </si>
  <si>
    <t>11751</t>
  </si>
  <si>
    <t>D35</t>
  </si>
  <si>
    <t>Carter, Rev. Ernest Courtenay</t>
  </si>
  <si>
    <t>244252</t>
  </si>
  <si>
    <t>Reed, Mr. James George</t>
  </si>
  <si>
    <t>362316</t>
  </si>
  <si>
    <t>Strom, Mrs. Wilhelm (Elna Matilda Persson)</t>
  </si>
  <si>
    <t>Stead, Mr. William Thomas</t>
  </si>
  <si>
    <t>113514</t>
  </si>
  <si>
    <t>C87</t>
  </si>
  <si>
    <t>Lobb, Mr. William Arthur</t>
  </si>
  <si>
    <t>A/5. 3336</t>
  </si>
  <si>
    <t>Rosblom, Mrs. Viktor (Helena Wilhelmina)</t>
  </si>
  <si>
    <t>370129</t>
  </si>
  <si>
    <t>Touma, Mrs. Darwis (Hanne Youssef Razi)</t>
  </si>
  <si>
    <t>2650</t>
  </si>
  <si>
    <t>Thorne, Mrs. Gertrude Maybelle</t>
  </si>
  <si>
    <t>PC 17585</t>
  </si>
  <si>
    <t>Cherry, Miss. Gladys</t>
  </si>
  <si>
    <t>110152</t>
  </si>
  <si>
    <t>B77</t>
  </si>
  <si>
    <t>Ward, Miss. Anna</t>
  </si>
  <si>
    <t>PC 17755</t>
  </si>
  <si>
    <t>Parrish, Mrs. (Lutie Davis)</t>
  </si>
  <si>
    <t>230433</t>
  </si>
  <si>
    <t>Smith, Mr. Thomas</t>
  </si>
  <si>
    <t>384461</t>
  </si>
  <si>
    <t>Asplund, Master. Edvin Rojj Felix</t>
  </si>
  <si>
    <t>Taussig, Mr. Emil</t>
  </si>
  <si>
    <t>110413</t>
  </si>
  <si>
    <t>E67</t>
  </si>
  <si>
    <t>Harrison, Mr. William</t>
  </si>
  <si>
    <t>112059</t>
  </si>
  <si>
    <t>B94</t>
  </si>
  <si>
    <t>Henry, Miss. Delia</t>
  </si>
  <si>
    <t>382649</t>
  </si>
  <si>
    <t>Reeves, Mr. David</t>
  </si>
  <si>
    <t>C.A. 17248</t>
  </si>
  <si>
    <t>Panula, Mr. Ernesti Arvid</t>
  </si>
  <si>
    <t>Persson, Mr. Ernst Ulrik</t>
  </si>
  <si>
    <t>347083</t>
  </si>
  <si>
    <t>Graham, Mrs. William Thompson (Edith Junkins)</t>
  </si>
  <si>
    <t>PC 17582</t>
  </si>
  <si>
    <t>C125</t>
  </si>
  <si>
    <t>Bissette, Miss. Amelia</t>
  </si>
  <si>
    <t>PC 17760</t>
  </si>
  <si>
    <t>C99</t>
  </si>
  <si>
    <t>Cairns, Mr. Alexander</t>
  </si>
  <si>
    <t>113798</t>
  </si>
  <si>
    <t>Tornquist, Mr. William Henry</t>
  </si>
  <si>
    <t>Mellinger, Mrs. (Elizabeth Anne Maidment)</t>
  </si>
  <si>
    <t>250644</t>
  </si>
  <si>
    <t>Natsch, Mr. Charles H</t>
  </si>
  <si>
    <t>PC 17596</t>
  </si>
  <si>
    <t>C118</t>
  </si>
  <si>
    <t>Healy, Miss. Hanora "Nora"</t>
  </si>
  <si>
    <t>370375</t>
  </si>
  <si>
    <t>Andrews, Miss. Kornelia Theodosia</t>
  </si>
  <si>
    <t>13502</t>
  </si>
  <si>
    <t>D7</t>
  </si>
  <si>
    <t>Lindblom, Miss. Augusta Charlotta</t>
  </si>
  <si>
    <t>347073</t>
  </si>
  <si>
    <t>Parkes, Mr. Francis "Frank"</t>
  </si>
  <si>
    <t>239853</t>
  </si>
  <si>
    <t>Rice, Master. Eric</t>
  </si>
  <si>
    <t>Abbott, Mrs. Stanton (Rosa Hunt)</t>
  </si>
  <si>
    <t>C.A. 2673</t>
  </si>
  <si>
    <t>Duane, Mr. Frank</t>
  </si>
  <si>
    <t>336439</t>
  </si>
  <si>
    <t>Olsson, Mr. Nils Johan Goransson</t>
  </si>
  <si>
    <t>347464</t>
  </si>
  <si>
    <t>de Pelsmaeker, Mr. Alfons</t>
  </si>
  <si>
    <t>345778</t>
  </si>
  <si>
    <t>Dorking, Mr. Edward Arthur</t>
  </si>
  <si>
    <t>A/5. 10482</t>
  </si>
  <si>
    <t>Smith, Mr. Richard William</t>
  </si>
  <si>
    <t>113056</t>
  </si>
  <si>
    <t>A19</t>
  </si>
  <si>
    <t>Stankovic, Mr. Ivan</t>
  </si>
  <si>
    <t>349239</t>
  </si>
  <si>
    <t>de Mulder, Mr. Theodore</t>
  </si>
  <si>
    <t>345774</t>
  </si>
  <si>
    <t>Naidenoff, Mr. Penko</t>
  </si>
  <si>
    <t>349206</t>
  </si>
  <si>
    <t>Hosono, Mr. Masabumi</t>
  </si>
  <si>
    <t>237798</t>
  </si>
  <si>
    <t>Connolly, Miss. Kate</t>
  </si>
  <si>
    <t>370373</t>
  </si>
  <si>
    <t>Barber, Miss. Ellen "Nellie"</t>
  </si>
  <si>
    <t>19877</t>
  </si>
  <si>
    <t>Bishop, Mrs. Dickinson H (Helen Walton)</t>
  </si>
  <si>
    <t>11967</t>
  </si>
  <si>
    <t>B49</t>
  </si>
  <si>
    <t>Levy, Mr. Rene Jacques</t>
  </si>
  <si>
    <t>SC/Paris 2163</t>
  </si>
  <si>
    <t>D</t>
  </si>
  <si>
    <t>Haas, Miss. Aloisia</t>
  </si>
  <si>
    <t>349236</t>
  </si>
  <si>
    <t>Mineff, Mr. Ivan</t>
  </si>
  <si>
    <t>349233</t>
  </si>
  <si>
    <t>Lewy, Mr. Ervin G</t>
  </si>
  <si>
    <t>PC 17612</t>
  </si>
  <si>
    <t>Hanna, Mr. Mansour</t>
  </si>
  <si>
    <t>2693</t>
  </si>
  <si>
    <t>Allison, Miss. Helen Loraine</t>
  </si>
  <si>
    <t>113781</t>
  </si>
  <si>
    <t>C22 C26</t>
  </si>
  <si>
    <t>Saalfeld, Mr. Adolphe</t>
  </si>
  <si>
    <t>19988</t>
  </si>
  <si>
    <t>C106</t>
  </si>
  <si>
    <t>Baxter, Mrs. James (Helene DeLaudeniere Chaput)</t>
  </si>
  <si>
    <t>Kelly, Miss. Anna Katherine "Annie Kate"</t>
  </si>
  <si>
    <t>9234</t>
  </si>
  <si>
    <t>McCoy, Mr. Bernard</t>
  </si>
  <si>
    <t>367226</t>
  </si>
  <si>
    <t>Johnson, Mr. William Cahoone Jr</t>
  </si>
  <si>
    <t>Keane, Miss. Nora A</t>
  </si>
  <si>
    <t>226593</t>
  </si>
  <si>
    <t>Williams, Mr. Howard Hugh "Harry"</t>
  </si>
  <si>
    <t>A/5 2466</t>
  </si>
  <si>
    <t>Allison, Master. Hudson Trevor</t>
  </si>
  <si>
    <t>Fleming, Miss. Margaret</t>
  </si>
  <si>
    <t>17421</t>
  </si>
  <si>
    <t>Penasco y Castellana, Mrs. Victor de Satode (Maria Josefa Perez de Soto y Vallejo)</t>
  </si>
  <si>
    <t>PC 17758</t>
  </si>
  <si>
    <t>C65</t>
  </si>
  <si>
    <t>Abelson, Mr. Samuel</t>
  </si>
  <si>
    <t>P/PP 3381</t>
  </si>
  <si>
    <t>Francatelli, Miss. Laura Mabel</t>
  </si>
  <si>
    <t>PC 17485</t>
  </si>
  <si>
    <t>E36</t>
  </si>
  <si>
    <t>Hays, Miss. Margaret Bechstein</t>
  </si>
  <si>
    <t>11767</t>
  </si>
  <si>
    <t>C54</t>
  </si>
  <si>
    <t>Ryerson, Miss. Emily Borie</t>
  </si>
  <si>
    <t>PC 17608</t>
  </si>
  <si>
    <t>B57 B59 B63 B66</t>
  </si>
  <si>
    <t>Lahtinen, Mrs. William (Anna Sylfven)</t>
  </si>
  <si>
    <t>250651</t>
  </si>
  <si>
    <t>Hendekovic, Mr. Ignjac</t>
  </si>
  <si>
    <t>349243</t>
  </si>
  <si>
    <t>Hart, Mr. Benjamin</t>
  </si>
  <si>
    <t>F.C.C. 13529</t>
  </si>
  <si>
    <t>Nilsson, Miss. Helmina Josefina</t>
  </si>
  <si>
    <t>347470</t>
  </si>
  <si>
    <t>Kantor, Mrs. Sinai (Miriam Sternin)</t>
  </si>
  <si>
    <t>Moraweck, Dr. Ernest</t>
  </si>
  <si>
    <t>29011</t>
  </si>
  <si>
    <t>Wick, Miss. Mary Natalie</t>
  </si>
  <si>
    <t>36928</t>
  </si>
  <si>
    <t>C7</t>
  </si>
  <si>
    <t>Spedden, Mrs. Frederic Oakley (Margaretta Corning Stone)</t>
  </si>
  <si>
    <t>16966</t>
  </si>
  <si>
    <t>E34</t>
  </si>
  <si>
    <t>Dennis, Mr. Samuel</t>
  </si>
  <si>
    <t>A/5 21172</t>
  </si>
  <si>
    <t>Danoff, Mr. Yoto</t>
  </si>
  <si>
    <t>349219</t>
  </si>
  <si>
    <t>Slayter, Miss. Hilda Mary</t>
  </si>
  <si>
    <t>234818</t>
  </si>
  <si>
    <t>Caldwell, Mrs. Albert Francis (Sylvia Mae Harbaugh)</t>
  </si>
  <si>
    <t>Sage, Mr. George John Jr</t>
  </si>
  <si>
    <t>Young, Miss. Marie Grice</t>
  </si>
  <si>
    <t>C32</t>
  </si>
  <si>
    <t>Nysveen, Mr. Johan Hansen</t>
  </si>
  <si>
    <t>345364</t>
  </si>
  <si>
    <t>Ball, Mrs. (Ada E Hall)</t>
  </si>
  <si>
    <t>28551</t>
  </si>
  <si>
    <t>Goldsmith, Mrs. Frank John (Emily Alice Brown)</t>
  </si>
  <si>
    <t>Hippach, Miss. Jean Gertrude</t>
  </si>
  <si>
    <t>111361</t>
  </si>
  <si>
    <t>B18</t>
  </si>
  <si>
    <t>McCoy, Miss. Agnes</t>
  </si>
  <si>
    <t>Partner, Mr. Austen</t>
  </si>
  <si>
    <t>113043</t>
  </si>
  <si>
    <t>C124</t>
  </si>
  <si>
    <t>Graham, Mr. George Edward</t>
  </si>
  <si>
    <t>C91</t>
  </si>
  <si>
    <t>Vander Planke, Mr. Leo Edmondus</t>
  </si>
  <si>
    <t>Frauenthal, Mrs. Henry William (Clara Heinsheimer)</t>
  </si>
  <si>
    <t>PC 17611</t>
  </si>
  <si>
    <t>Denkoff, Mr. Mitto</t>
  </si>
  <si>
    <t>349225</t>
  </si>
  <si>
    <t>Pears, Mr. Thomas Clinton</t>
  </si>
  <si>
    <t>Burns, Miss. Elizabeth Margaret</t>
  </si>
  <si>
    <t>E40</t>
  </si>
  <si>
    <t>Dahl, Mr. Karl Edwart</t>
  </si>
  <si>
    <t>7598</t>
  </si>
  <si>
    <t>Blackwell, Mr. Stephen Weart</t>
  </si>
  <si>
    <t>113784</t>
  </si>
  <si>
    <t>T</t>
  </si>
  <si>
    <t>Navratil, Master. Edmond Roger</t>
  </si>
  <si>
    <t>Fortune, Miss. Alice Elizabeth</t>
  </si>
  <si>
    <t>Collander, Mr. Erik Gustaf</t>
  </si>
  <si>
    <t>248740</t>
  </si>
  <si>
    <t>Sedgwick, Mr. Charles Frederick Waddington</t>
  </si>
  <si>
    <t>244361</t>
  </si>
  <si>
    <t>Fox, Mr. Stanley Hubert</t>
  </si>
  <si>
    <t>229236</t>
  </si>
  <si>
    <t>Brown, Miss. Amelia "Mildred"</t>
  </si>
  <si>
    <t>248733</t>
  </si>
  <si>
    <t>Smith, Miss. Marion Elsie</t>
  </si>
  <si>
    <t>31418</t>
  </si>
  <si>
    <t>Davison, Mrs. Thomas Henry (Mary E Finck)</t>
  </si>
  <si>
    <t>386525</t>
  </si>
  <si>
    <t>Coutts, Master. William Loch "William"</t>
  </si>
  <si>
    <t>C.A. 37671</t>
  </si>
  <si>
    <t>Dimic, Mr. Jovan</t>
  </si>
  <si>
    <t>315088</t>
  </si>
  <si>
    <t>Odahl, Mr. Nils Martin</t>
  </si>
  <si>
    <t>7267</t>
  </si>
  <si>
    <t>Williams-Lambert, Mr. Fletcher Fellows</t>
  </si>
  <si>
    <t>113510</t>
  </si>
  <si>
    <t>C128</t>
  </si>
  <si>
    <t>Elias, Mr. Tannous</t>
  </si>
  <si>
    <t>2695</t>
  </si>
  <si>
    <t>Arnold-Franchi, Mr. Josef</t>
  </si>
  <si>
    <t>Yousif, Mr. Wazli</t>
  </si>
  <si>
    <t>2647</t>
  </si>
  <si>
    <t>Vanden Steen, Mr. Leo Peter</t>
  </si>
  <si>
    <t>345783</t>
  </si>
  <si>
    <t>Bowerman, Miss. Elsie Edith</t>
  </si>
  <si>
    <t>Funk, Miss. Annie Clemmer</t>
  </si>
  <si>
    <t>237671</t>
  </si>
  <si>
    <t>McGovern, Miss. Mary</t>
  </si>
  <si>
    <t>330931</t>
  </si>
  <si>
    <t>Mockler, Miss. Helen Mary "Ellie"</t>
  </si>
  <si>
    <t>330980</t>
  </si>
  <si>
    <t>Skoog, Mr. Wilhelm</t>
  </si>
  <si>
    <t>del Carlo, Mr. Sebastiano</t>
  </si>
  <si>
    <t>SC/PARIS 2167</t>
  </si>
  <si>
    <t>Barbara, Mrs. (Catherine David)</t>
  </si>
  <si>
    <t>2691</t>
  </si>
  <si>
    <t>Asim, Mr. Adola</t>
  </si>
  <si>
    <t>SOTON/O.Q. 3101310</t>
  </si>
  <si>
    <t>O'Brien, Mr. Thomas</t>
  </si>
  <si>
    <t>Adahl, Mr. Mauritz Nils Martin</t>
  </si>
  <si>
    <t>C 7076</t>
  </si>
  <si>
    <t>Warren, Mrs. Frank Manley (Anna Sophia Atkinson)</t>
  </si>
  <si>
    <t>110813</t>
  </si>
  <si>
    <t>D37</t>
  </si>
  <si>
    <t>Moussa, Mrs. (Mantoura Boulos)</t>
  </si>
  <si>
    <t>2626</t>
  </si>
  <si>
    <t>Jermyn, Miss. Annie</t>
  </si>
  <si>
    <t>14313</t>
  </si>
  <si>
    <t>Aubart, Mme. Leontine Pauline</t>
  </si>
  <si>
    <t>PC 17477</t>
  </si>
  <si>
    <t>B35</t>
  </si>
  <si>
    <t>Harder, Mr. George Achilles</t>
  </si>
  <si>
    <t>11765</t>
  </si>
  <si>
    <t>E50</t>
  </si>
  <si>
    <t>Wiklund, Mr. Jakob Alfred</t>
  </si>
  <si>
    <t>3101267</t>
  </si>
  <si>
    <t>Beavan, Mr. William Thomas</t>
  </si>
  <si>
    <t>323951</t>
  </si>
  <si>
    <t>Ringhini, Mr. Sante</t>
  </si>
  <si>
    <t>Palsson, Miss. Stina Viola</t>
  </si>
  <si>
    <t>Meyer, Mrs. Edgar Joseph (Leila Saks)</t>
  </si>
  <si>
    <t>Landergren, Miss. Aurora Adelia</t>
  </si>
  <si>
    <t>C 7077</t>
  </si>
  <si>
    <t>Widener, Mr. Harry Elkins</t>
  </si>
  <si>
    <t>113503</t>
  </si>
  <si>
    <t>C82</t>
  </si>
  <si>
    <t>Betros, Mr. Tannous</t>
  </si>
  <si>
    <t>2648</t>
  </si>
  <si>
    <t>Gustafsson, Mr. Karl Gideon</t>
  </si>
  <si>
    <t>347069</t>
  </si>
  <si>
    <t>Bidois, Miss. Rosalie</t>
  </si>
  <si>
    <t>PC 17757</t>
  </si>
  <si>
    <t>Nakid, Miss. Maria ("Mary")</t>
  </si>
  <si>
    <t>2653</t>
  </si>
  <si>
    <t>Tikkanen, Mr. Juho</t>
  </si>
  <si>
    <t>STON/O 2. 3101293</t>
  </si>
  <si>
    <t>Holverson, Mrs. Alexander Oskar (Mary Aline Towner)</t>
  </si>
  <si>
    <t>Plotcharsky, Mr. Vasil</t>
  </si>
  <si>
    <t>349227</t>
  </si>
  <si>
    <t>Davies, Mr. Charles Henry</t>
  </si>
  <si>
    <t>Goodwin, Master. Sidney Leonard</t>
  </si>
  <si>
    <t>Buss, Miss. Kate</t>
  </si>
  <si>
    <t>27849</t>
  </si>
  <si>
    <t>Sadlier, Mr. Matthew</t>
  </si>
  <si>
    <t>367655</t>
  </si>
  <si>
    <t>Lehmann, Miss. Bertha</t>
  </si>
  <si>
    <t>SC 1748</t>
  </si>
  <si>
    <t>Carter, Mr. William Ernest</t>
  </si>
  <si>
    <t>113760</t>
  </si>
  <si>
    <t>B96 B98</t>
  </si>
  <si>
    <t>Jansson, Mr. Carl Olof</t>
  </si>
  <si>
    <t>350034</t>
  </si>
  <si>
    <t>Gustafsson, Mr. Johan Birger</t>
  </si>
  <si>
    <t>3101277</t>
  </si>
  <si>
    <t>Newell, Miss. Marjorie</t>
  </si>
  <si>
    <t>Sandstrom, Mrs. Hjalmar (Agnes Charlotta Bengtsson)</t>
  </si>
  <si>
    <t>Johansson, Mr. Erik</t>
  </si>
  <si>
    <t>350052</t>
  </si>
  <si>
    <t>Olsson, Miss. Elina</t>
  </si>
  <si>
    <t>350407</t>
  </si>
  <si>
    <t>McKane, Mr. Peter David</t>
  </si>
  <si>
    <t>28403</t>
  </si>
  <si>
    <t>Pain, Dr. Alfred</t>
  </si>
  <si>
    <t>244278</t>
  </si>
  <si>
    <t>Trout, Mrs. William H (Jessie L)</t>
  </si>
  <si>
    <t>240929</t>
  </si>
  <si>
    <t>Niskanen, Mr. Juha</t>
  </si>
  <si>
    <t>STON/O 2. 3101289</t>
  </si>
  <si>
    <t>Adams, Mr. John</t>
  </si>
  <si>
    <t>341826</t>
  </si>
  <si>
    <t>Jussila, Miss. Mari Aina</t>
  </si>
  <si>
    <t>4137</t>
  </si>
  <si>
    <t>Hakkarainen, Mr. Pekka Pietari</t>
  </si>
  <si>
    <t>Oreskovic, Miss. Marija</t>
  </si>
  <si>
    <t>315096</t>
  </si>
  <si>
    <t>Gale, Mr. Shadrach</t>
  </si>
  <si>
    <t>28664</t>
  </si>
  <si>
    <t>Widegren, Mr. Carl/Charles Peter</t>
  </si>
  <si>
    <t>347064</t>
  </si>
  <si>
    <t>Richards, Master. William Rowe</t>
  </si>
  <si>
    <t>29106</t>
  </si>
  <si>
    <t>Birkeland, Mr. Hans Martin Monsen</t>
  </si>
  <si>
    <t>312992</t>
  </si>
  <si>
    <t>Lefebre, Miss. Ida</t>
  </si>
  <si>
    <t>Sdycoff, Mr. Todor</t>
  </si>
  <si>
    <t>349222</t>
  </si>
  <si>
    <t>Hart, Mr. Henry</t>
  </si>
  <si>
    <t>394140</t>
  </si>
  <si>
    <t>Minahan, Miss. Daisy E</t>
  </si>
  <si>
    <t>Cunningham, Mr. Alfred Fleming</t>
  </si>
  <si>
    <t>Sundman, Mr. Johan Julian</t>
  </si>
  <si>
    <t>STON/O 2. 3101269</t>
  </si>
  <si>
    <t>Meek, Mrs. Thomas (Annie Louise Rowley)</t>
  </si>
  <si>
    <t>343095</t>
  </si>
  <si>
    <t>Drew, Mrs. James Vivian (Lulu Thorne Christian)</t>
  </si>
  <si>
    <t>28220</t>
  </si>
  <si>
    <t>Silven, Miss. Lyyli Karoliina</t>
  </si>
  <si>
    <t>250652</t>
  </si>
  <si>
    <t>Matthews, Mr. William John</t>
  </si>
  <si>
    <t>28228</t>
  </si>
  <si>
    <t>Van Impe, Miss. Catharina</t>
  </si>
  <si>
    <t>345773</t>
  </si>
  <si>
    <t>Gheorgheff, Mr. Stanio</t>
  </si>
  <si>
    <t>349254</t>
  </si>
  <si>
    <t>Charters, Mr. David</t>
  </si>
  <si>
    <t>A/5. 13032</t>
  </si>
  <si>
    <t>Zimmerman, Mr. Leo</t>
  </si>
  <si>
    <t>315082</t>
  </si>
  <si>
    <t>Danbom, Mrs. Ernst Gilbert (Anna Sigrid Maria Brogren)</t>
  </si>
  <si>
    <t>347080</t>
  </si>
  <si>
    <t>Rosblom, Mr. Viktor Richard</t>
  </si>
  <si>
    <t>Wiseman, Mr. Phillippe</t>
  </si>
  <si>
    <t>A/4. 34244</t>
  </si>
  <si>
    <t>Clarke, Mrs. Charles V (Ada Maria Winfield)</t>
  </si>
  <si>
    <t>2003</t>
  </si>
  <si>
    <t>Phillips, Miss. Kate Florence ("Mrs Kate Louise Phillips Marshall")</t>
  </si>
  <si>
    <t>250655</t>
  </si>
  <si>
    <t>Flynn, Mr. James</t>
  </si>
  <si>
    <t>364851</t>
  </si>
  <si>
    <t>Pickard, Mr. Berk (Berk Trembisky)</t>
  </si>
  <si>
    <t>SOTON/O.Q. 392078</t>
  </si>
  <si>
    <t>E10</t>
  </si>
  <si>
    <t>Bjornstrom-Steffansson, Mr. Mauritz Hakan</t>
  </si>
  <si>
    <t>110564</t>
  </si>
  <si>
    <t>Thorneycroft, Mrs. Percival (Florence Kate White)</t>
  </si>
  <si>
    <t>376564</t>
  </si>
  <si>
    <t>Louch, Mrs. Charles Alexander (Alice Adelaide Slow)</t>
  </si>
  <si>
    <t>SC/AH 3085</t>
  </si>
  <si>
    <t>Kallio, Mr. Nikolai Erland</t>
  </si>
  <si>
    <t>STON/O 2. 3101274</t>
  </si>
  <si>
    <t>Silvey, Mr. William Baird</t>
  </si>
  <si>
    <t>13507</t>
  </si>
  <si>
    <t>E44</t>
  </si>
  <si>
    <t>Carter, Miss. Lucile Polk</t>
  </si>
  <si>
    <t>Ford, Miss. Doolina Margaret "Daisy"</t>
  </si>
  <si>
    <t>Richards, Mrs. Sidney (Emily Hocking)</t>
  </si>
  <si>
    <t>Fortune, Mr. Mark</t>
  </si>
  <si>
    <t>Kvillner, Mr. Johan Henrik Johannesson</t>
  </si>
  <si>
    <t>C.A. 18723</t>
  </si>
  <si>
    <t>Hart, Mrs. Benjamin (Esther Ada Bloomfield)</t>
  </si>
  <si>
    <t>Hampe, Mr. Leon</t>
  </si>
  <si>
    <t>345769</t>
  </si>
  <si>
    <t>Petterson, Mr. Johan Emil</t>
  </si>
  <si>
    <t>347076</t>
  </si>
  <si>
    <t>Reynaldo, Ms. Encarnacion</t>
  </si>
  <si>
    <t>230434</t>
  </si>
  <si>
    <t>Johannesen-Bratthammer, Mr. Bernt</t>
  </si>
  <si>
    <t>65306</t>
  </si>
  <si>
    <t>Dodge, Master. Washington</t>
  </si>
  <si>
    <t>33638</t>
  </si>
  <si>
    <t>A34</t>
  </si>
  <si>
    <t>Mellinger, Miss. Madeleine Violet</t>
  </si>
  <si>
    <t>Seward, Mr. Frederic Kimber</t>
  </si>
  <si>
    <t>113794</t>
  </si>
  <si>
    <t>Baclini, Miss. Marie Catherine</t>
  </si>
  <si>
    <t>2666</t>
  </si>
  <si>
    <t>Peuchen, Major. Arthur Godfrey</t>
  </si>
  <si>
    <t>113786</t>
  </si>
  <si>
    <t>C104</t>
  </si>
  <si>
    <t>West, Mr. Edwy Arthur</t>
  </si>
  <si>
    <t>Hagland, Mr. Ingvald Olai Olsen</t>
  </si>
  <si>
    <t>65303</t>
  </si>
  <si>
    <t>Foreman, Mr. Benjamin Laventall</t>
  </si>
  <si>
    <t>113051</t>
  </si>
  <si>
    <t>C111</t>
  </si>
  <si>
    <t>Goldenberg, Mr. Samuel L</t>
  </si>
  <si>
    <t>17453</t>
  </si>
  <si>
    <t>C92</t>
  </si>
  <si>
    <t>Peduzzi, Mr. Joseph</t>
  </si>
  <si>
    <t>A/5 2817</t>
  </si>
  <si>
    <t>Jalsevac, Mr. Ivan</t>
  </si>
  <si>
    <t>349240</t>
  </si>
  <si>
    <t>Millet, Mr. Francis Davis</t>
  </si>
  <si>
    <t>13509</t>
  </si>
  <si>
    <t>E38</t>
  </si>
  <si>
    <t>Kenyon, Mrs. Frederick R (Marion)</t>
  </si>
  <si>
    <t>17464</t>
  </si>
  <si>
    <t>D21</t>
  </si>
  <si>
    <t>Toomey, Miss. Ellen</t>
  </si>
  <si>
    <t>F.C.C. 13531</t>
  </si>
  <si>
    <t>O'Connor, Mr. Maurice</t>
  </si>
  <si>
    <t>371060</t>
  </si>
  <si>
    <t>Anderson, Mr. Harry</t>
  </si>
  <si>
    <t>19952</t>
  </si>
  <si>
    <t>E12</t>
  </si>
  <si>
    <t>Morley, Mr. William</t>
  </si>
  <si>
    <t>364506</t>
  </si>
  <si>
    <t>Gee, Mr. Arthur H</t>
  </si>
  <si>
    <t>111320</t>
  </si>
  <si>
    <t>E63</t>
  </si>
  <si>
    <t>Milling, Mr. Jacob Christian</t>
  </si>
  <si>
    <t>234360</t>
  </si>
  <si>
    <t>Maisner, Mr. Simon</t>
  </si>
  <si>
    <t>A/S 2816</t>
  </si>
  <si>
    <t>Goncalves, Mr. Manuel Estanslas</t>
  </si>
  <si>
    <t>SOTON/O.Q. 3101306</t>
  </si>
  <si>
    <t>Campbell, Mr. William</t>
  </si>
  <si>
    <t>Smart, Mr. John Montgomery</t>
  </si>
  <si>
    <t>113792</t>
  </si>
  <si>
    <t>Scanlan, Mr. James</t>
  </si>
  <si>
    <t>36209</t>
  </si>
  <si>
    <t>Baclini, Miss. Helene Barbara</t>
  </si>
  <si>
    <t>Keefe, Mr. Arthur</t>
  </si>
  <si>
    <t>323592</t>
  </si>
  <si>
    <t>Cacic, Mr. Luka</t>
  </si>
  <si>
    <t>315089</t>
  </si>
  <si>
    <t>West, Mrs. Edwy Arthur (Ada Mary Worth)</t>
  </si>
  <si>
    <t>Jerwan, Mrs. Amin S (Marie Marthe Thuillard)</t>
  </si>
  <si>
    <t>SC/AH Basle 541</t>
  </si>
  <si>
    <t>Strandberg, Miss. Ida Sofia</t>
  </si>
  <si>
    <t>7553</t>
  </si>
  <si>
    <t>Clifford, Mr. George Quincy</t>
  </si>
  <si>
    <t>A14</t>
  </si>
  <si>
    <t>Renouf, Mr. Peter Henry</t>
  </si>
  <si>
    <t>31027</t>
  </si>
  <si>
    <t>Braund, Mr. Lewis Richard</t>
  </si>
  <si>
    <t>3460</t>
  </si>
  <si>
    <t>Karlsson, Mr. Nils August</t>
  </si>
  <si>
    <t>350060</t>
  </si>
  <si>
    <t>Hirvonen, Miss. Hildur E</t>
  </si>
  <si>
    <t>3101298</t>
  </si>
  <si>
    <t>Goodwin, Master. Harold Victor</t>
  </si>
  <si>
    <t>Frost, Mr. Anthony Wood "Archie"</t>
  </si>
  <si>
    <t>239854</t>
  </si>
  <si>
    <t>Rouse, Mr. Richard Henry</t>
  </si>
  <si>
    <t>A/5 3594</t>
  </si>
  <si>
    <t>Turkula, Mrs. (Hedwig)</t>
  </si>
  <si>
    <t>4134</t>
  </si>
  <si>
    <t>Bishop, Mr. Dickinson H</t>
  </si>
  <si>
    <t>Lefebre, Miss. Jeannie</t>
  </si>
  <si>
    <t>Hoyt, Mrs. Frederick Maxfield (Jane Anne Forby)</t>
  </si>
  <si>
    <t>Kent, Mr. Edward Austin</t>
  </si>
  <si>
    <t>11771</t>
  </si>
  <si>
    <t>B37</t>
  </si>
  <si>
    <t>Somerton, Mr. Francis William</t>
  </si>
  <si>
    <t>A.5. 18509</t>
  </si>
  <si>
    <t>Coutts, Master. Eden Leslie "Neville"</t>
  </si>
  <si>
    <t>Hagland, Mr. Konrad Mathias Reiersen</t>
  </si>
  <si>
    <t>65304</t>
  </si>
  <si>
    <t>Windelov, Mr. Einar</t>
  </si>
  <si>
    <t>SOTON/OQ 3101317</t>
  </si>
  <si>
    <t>Molson, Mr. Harry Markland</t>
  </si>
  <si>
    <t>113787</t>
  </si>
  <si>
    <t>C30</t>
  </si>
  <si>
    <t>Artagaveytia, Mr. Ramon</t>
  </si>
  <si>
    <t>PC 17609</t>
  </si>
  <si>
    <t>Stanley, Mr. Edward Roland</t>
  </si>
  <si>
    <t>A/4 45380</t>
  </si>
  <si>
    <t>Yousseff, Mr. Gerious</t>
  </si>
  <si>
    <t>Eustis, Miss. Elizabeth Mussey</t>
  </si>
  <si>
    <t>36947</t>
  </si>
  <si>
    <t>D20</t>
  </si>
  <si>
    <t>Shellard, Mr. Frederick William</t>
  </si>
  <si>
    <t>C.A. 6212</t>
  </si>
  <si>
    <t>Allison, Mrs. Hudson J C (Bessie Waldo Daniels)</t>
  </si>
  <si>
    <t>Svensson, Mr. Olof</t>
  </si>
  <si>
    <t>350035</t>
  </si>
  <si>
    <t>Calic, Mr. Petar</t>
  </si>
  <si>
    <t>315086</t>
  </si>
  <si>
    <t>Canavan, Miss. Mary</t>
  </si>
  <si>
    <t>364846</t>
  </si>
  <si>
    <t>O'Sullivan, Miss. Bridget Mary</t>
  </si>
  <si>
    <t>330909</t>
  </si>
  <si>
    <t>Laitinen, Miss. Kristina Sofia</t>
  </si>
  <si>
    <t>4135</t>
  </si>
  <si>
    <t>Maioni, Miss. Roberta</t>
  </si>
  <si>
    <t>B79</t>
  </si>
  <si>
    <t>Penasco y Castellana, Mr. Victor de Satode</t>
  </si>
  <si>
    <t>Quick, Mrs. Frederick Charles (Jane Richards)</t>
  </si>
  <si>
    <t>26360</t>
  </si>
  <si>
    <t>Bradley, Mr. George ("George Arthur Brayton")</t>
  </si>
  <si>
    <t>111427</t>
  </si>
  <si>
    <t>Olsen, Mr. Henry Margido</t>
  </si>
  <si>
    <t>C 4001</t>
  </si>
  <si>
    <t>Lang, Mr. Fang</t>
  </si>
  <si>
    <t>Daly, Mr. Eugene Patrick</t>
  </si>
  <si>
    <t>382651</t>
  </si>
  <si>
    <t>Webber, Mr. James</t>
  </si>
  <si>
    <t>SOTON/OQ 3101316</t>
  </si>
  <si>
    <t>McGough, Mr. James Robert</t>
  </si>
  <si>
    <t>PC 17473</t>
  </si>
  <si>
    <t>E25</t>
  </si>
  <si>
    <t>Rothschild, Mrs. Martin (Elizabeth L. Barrett)</t>
  </si>
  <si>
    <t>PC 17603</t>
  </si>
  <si>
    <t>Coleff, Mr. Satio</t>
  </si>
  <si>
    <t>349209</t>
  </si>
  <si>
    <t>Walker, Mr. William Anderson</t>
  </si>
  <si>
    <t>36967</t>
  </si>
  <si>
    <t>D46</t>
  </si>
  <si>
    <t>Lemore, Mrs. (Amelia Milley)</t>
  </si>
  <si>
    <t>C.A. 34260</t>
  </si>
  <si>
    <t>Ryan, Mr. Patrick</t>
  </si>
  <si>
    <t>Angle, Mrs. William A (Florence "Mary" Agnes Hughes)</t>
  </si>
  <si>
    <t>226875</t>
  </si>
  <si>
    <t>Pavlovic, Mr. Stefo</t>
  </si>
  <si>
    <t>349242</t>
  </si>
  <si>
    <t>Perreault, Miss. Anne</t>
  </si>
  <si>
    <t>12749</t>
  </si>
  <si>
    <t>B73</t>
  </si>
  <si>
    <t>Vovk, Mr. Janko</t>
  </si>
  <si>
    <t>349252</t>
  </si>
  <si>
    <t>Lahoud, Mr. Sarkis</t>
  </si>
  <si>
    <t>2624</t>
  </si>
  <si>
    <t>Hippach, Mrs. Louis Albert (Ida Sophia Fischer)</t>
  </si>
  <si>
    <t>Kassem, Mr. Fared</t>
  </si>
  <si>
    <t>2700</t>
  </si>
  <si>
    <t>Farrell, Mr. James</t>
  </si>
  <si>
    <t>367232</t>
  </si>
  <si>
    <t>Ridsdale, Miss. Lucy</t>
  </si>
  <si>
    <t>W./C. 14258</t>
  </si>
  <si>
    <t>Farthing, Mr. John</t>
  </si>
  <si>
    <t>PC 17483</t>
  </si>
  <si>
    <t>C95</t>
  </si>
  <si>
    <t>Salonen, Mr. Johan Werner</t>
  </si>
  <si>
    <t>3101296</t>
  </si>
  <si>
    <t>Hocking, Mr. Richard George</t>
  </si>
  <si>
    <t>29104</t>
  </si>
  <si>
    <t>Quick, Miss. Phyllis May</t>
  </si>
  <si>
    <t>Toufik, Mr. Nakli</t>
  </si>
  <si>
    <t>2641</t>
  </si>
  <si>
    <t>Elias, Mr. Joseph Jr</t>
  </si>
  <si>
    <t>2690</t>
  </si>
  <si>
    <t>Peter, Mrs. Catherine (Catherine Rizk)</t>
  </si>
  <si>
    <t>Cacic, Miss. Marija</t>
  </si>
  <si>
    <t>315084</t>
  </si>
  <si>
    <t>Hart, Miss. Eva Miriam</t>
  </si>
  <si>
    <t>Butt, Major. Archibald Willingham</t>
  </si>
  <si>
    <t>113050</t>
  </si>
  <si>
    <t>B38</t>
  </si>
  <si>
    <t>LeRoy, Miss. Bertha</t>
  </si>
  <si>
    <t>PC 17761</t>
  </si>
  <si>
    <t>Risien, Mr. Samuel Beard</t>
  </si>
  <si>
    <t>364498</t>
  </si>
  <si>
    <t>Frolicher, Miss. Hedwig Margaritha</t>
  </si>
  <si>
    <t>13568</t>
  </si>
  <si>
    <t>B39</t>
  </si>
  <si>
    <t>Crosby, Miss. Harriet R</t>
  </si>
  <si>
    <t>WE/P 5735</t>
  </si>
  <si>
    <t>B22</t>
  </si>
  <si>
    <t>Andersson, Miss. Ingeborg Constanzia</t>
  </si>
  <si>
    <t>Andersson, Miss. Sigrid Elisabeth</t>
  </si>
  <si>
    <t>Beane, Mr. Edward</t>
  </si>
  <si>
    <t>2908</t>
  </si>
  <si>
    <t>Douglas, Mr. Walter Donald</t>
  </si>
  <si>
    <t>C86</t>
  </si>
  <si>
    <t>Nicholson, Mr. Arthur Ernest</t>
  </si>
  <si>
    <t>693</t>
  </si>
  <si>
    <t>Beane, Mrs. Edward (Ethel Clarke)</t>
  </si>
  <si>
    <t>Padro y Manent, Mr. Julian</t>
  </si>
  <si>
    <t>SC/PARIS 2146</t>
  </si>
  <si>
    <t>Goldsmith, Mr. Frank John</t>
  </si>
  <si>
    <t>Davies, Master. John Morgan Jr</t>
  </si>
  <si>
    <t>Thayer, Mr. John Borland Jr</t>
  </si>
  <si>
    <t>C70</t>
  </si>
  <si>
    <t>Sharp, Mr. Percival James R</t>
  </si>
  <si>
    <t>244358</t>
  </si>
  <si>
    <t>O'Brien, Mr. Timothy</t>
  </si>
  <si>
    <t>330979</t>
  </si>
  <si>
    <t>Leeni, Mr. Fahim ("Philip Zenni")</t>
  </si>
  <si>
    <t>2620</t>
  </si>
  <si>
    <t>Ohman, Miss. Velin</t>
  </si>
  <si>
    <t>347085</t>
  </si>
  <si>
    <t>Wright, Mr. George</t>
  </si>
  <si>
    <t>113807</t>
  </si>
  <si>
    <t>Duff Gordon, Lady. (Lucille Christiana Sutherland) ("Mrs Morgan")</t>
  </si>
  <si>
    <t>11755</t>
  </si>
  <si>
    <t>A16</t>
  </si>
  <si>
    <t>Robbins, Mr. Victor</t>
  </si>
  <si>
    <t>Taussig, Mrs. Emil (Tillie Mandelbaum)</t>
  </si>
  <si>
    <t>de Messemaeker, Mrs. Guillaume Joseph (Emma)</t>
  </si>
  <si>
    <t>345572</t>
  </si>
  <si>
    <t>Morrow, Mr. Thomas Rowan</t>
  </si>
  <si>
    <t>372622</t>
  </si>
  <si>
    <t>Sivic, Mr. Husein</t>
  </si>
  <si>
    <t>349251</t>
  </si>
  <si>
    <t>Norman, Mr. Robert Douglas</t>
  </si>
  <si>
    <t>218629</t>
  </si>
  <si>
    <t>Simmons, Mr. John</t>
  </si>
  <si>
    <t>SOTON/OQ 392082</t>
  </si>
  <si>
    <t>Meanwell, Miss. (Marion Ogden)</t>
  </si>
  <si>
    <t>SOTON/O.Q. 392087</t>
  </si>
  <si>
    <t>Davies, Mr. Alfred J</t>
  </si>
  <si>
    <t>A/4 48871</t>
  </si>
  <si>
    <t>Stoytcheff, Mr. Ilia</t>
  </si>
  <si>
    <t>349205</t>
  </si>
  <si>
    <t>Palsson, Mrs. Nils (Alma Cornelia Berglund)</t>
  </si>
  <si>
    <t>Doharr, Mr. Tannous</t>
  </si>
  <si>
    <t>2686</t>
  </si>
  <si>
    <t>Jonsson, Mr. Carl</t>
  </si>
  <si>
    <t>350417</t>
  </si>
  <si>
    <t>Harris, Mr. George</t>
  </si>
  <si>
    <t>S.W./PP 752</t>
  </si>
  <si>
    <t>Appleton, Mrs. Edward Dale (Charlotte Lamson)</t>
  </si>
  <si>
    <t>11769</t>
  </si>
  <si>
    <t>C101</t>
  </si>
  <si>
    <t>Flynn, Mr. John Irwin ("Irving")</t>
  </si>
  <si>
    <t>PC 17474</t>
  </si>
  <si>
    <t>Kelly, Miss. Mary</t>
  </si>
  <si>
    <t>14312</t>
  </si>
  <si>
    <t>Rush, Mr. Alfred George John</t>
  </si>
  <si>
    <t>A/4. 20589</t>
  </si>
  <si>
    <t>Patchett, Mr. George</t>
  </si>
  <si>
    <t>358585</t>
  </si>
  <si>
    <t>Garside, Miss. Ethel</t>
  </si>
  <si>
    <t>243880</t>
  </si>
  <si>
    <t>Silvey, Mrs. William Baird (Alice Munger)</t>
  </si>
  <si>
    <t>Caram, Mrs. Joseph (Maria Elias)</t>
  </si>
  <si>
    <t>2689</t>
  </si>
  <si>
    <t>Jussila, Mr. Eiriik</t>
  </si>
  <si>
    <t>STON/O 2. 3101286</t>
  </si>
  <si>
    <t>Christy, Miss. Julie Rachel</t>
  </si>
  <si>
    <t>237789</t>
  </si>
  <si>
    <t>Thayer, Mrs. John Borland (Marian Longstreth Morris)</t>
  </si>
  <si>
    <t>C68</t>
  </si>
  <si>
    <t>Downton, Mr. William James</t>
  </si>
  <si>
    <t>Ross, Mr. John Hugo</t>
  </si>
  <si>
    <t>13049</t>
  </si>
  <si>
    <t>A10</t>
  </si>
  <si>
    <t>Paulner, Mr. Uscher</t>
  </si>
  <si>
    <t>3411</t>
  </si>
  <si>
    <t>Taussig, Miss. Ruth</t>
  </si>
  <si>
    <t>E68</t>
  </si>
  <si>
    <t>Jarvis, Mr. John Denzil</t>
  </si>
  <si>
    <t>237565</t>
  </si>
  <si>
    <t>Frolicher-Stehli, Mr. Maxmillian</t>
  </si>
  <si>
    <t>13567</t>
  </si>
  <si>
    <t>B41</t>
  </si>
  <si>
    <t>Gilinski, Mr. Eliezer</t>
  </si>
  <si>
    <t>14973</t>
  </si>
  <si>
    <t>Murdlin, Mr. Joseph</t>
  </si>
  <si>
    <t>A./5. 3235</t>
  </si>
  <si>
    <t>Rintamaki, Mr. Matti</t>
  </si>
  <si>
    <t>STON/O 2. 3101273</t>
  </si>
  <si>
    <t>Stephenson, Mrs. Walter Bertram (Martha Eustis)</t>
  </si>
  <si>
    <t>Elsbury, Mr. William James</t>
  </si>
  <si>
    <t>A/5 3902</t>
  </si>
  <si>
    <t>Bourke, Miss. Mary</t>
  </si>
  <si>
    <t>364848</t>
  </si>
  <si>
    <t>Chapman, Mr. John Henry</t>
  </si>
  <si>
    <t>SC/AH 29037</t>
  </si>
  <si>
    <t>Van Impe, Mr. Jean Baptiste</t>
  </si>
  <si>
    <t>Leitch, Miss. Jessie Wills</t>
  </si>
  <si>
    <t>248727</t>
  </si>
  <si>
    <t>Johnson, Mr. Alfred</t>
  </si>
  <si>
    <t>Boulos, Mr. Hanna</t>
  </si>
  <si>
    <t>2664</t>
  </si>
  <si>
    <t>Duff Gordon, Sir. Cosmo Edmund ("Mr Morgan")</t>
  </si>
  <si>
    <t>A20</t>
  </si>
  <si>
    <t>Jacobsohn, Mrs. Sidney Samuel (Amy Frances Christy)</t>
  </si>
  <si>
    <t>Slabenoff, Mr. Petco</t>
  </si>
  <si>
    <t>349214</t>
  </si>
  <si>
    <t>Harrington, Mr. Charles H</t>
  </si>
  <si>
    <t>113796</t>
  </si>
  <si>
    <t>Torber, Mr. Ernst William</t>
  </si>
  <si>
    <t>364511</t>
  </si>
  <si>
    <t>Homer, Mr. Harry ("Mr E Haven")</t>
  </si>
  <si>
    <t>111426</t>
  </si>
  <si>
    <t>Lindell, Mr. Edvard Bengtsson</t>
  </si>
  <si>
    <t>349910</t>
  </si>
  <si>
    <t>Karaic, Mr. Milan</t>
  </si>
  <si>
    <t>349246</t>
  </si>
  <si>
    <t>Daniel, Mr. Robert Williams</t>
  </si>
  <si>
    <t>113804</t>
  </si>
  <si>
    <t>Laroche, Mrs. Joseph (Juliette Marie Louise Lafargue)</t>
  </si>
  <si>
    <t>Shutes, Miss. Elizabeth W</t>
  </si>
  <si>
    <t>Andersson, Mrs. Anders Johan (Alfrida Konstantia Brogren)</t>
  </si>
  <si>
    <t>Jardin, Mr. Jose Neto</t>
  </si>
  <si>
    <t>SOTON/O.Q. 3101305</t>
  </si>
  <si>
    <t>Murphy, Miss. Margaret Jane</t>
  </si>
  <si>
    <t>Horgan, Mr. John</t>
  </si>
  <si>
    <t>370377</t>
  </si>
  <si>
    <t>Brocklebank, Mr. William Alfred</t>
  </si>
  <si>
    <t>364512</t>
  </si>
  <si>
    <t>Herman, Miss. Alice</t>
  </si>
  <si>
    <t>220845</t>
  </si>
  <si>
    <t>Danbom, Mr. Ernst Gilbert</t>
  </si>
  <si>
    <t>Lobb, Mrs. William Arthur (Cordelia K Stanlick)</t>
  </si>
  <si>
    <t>Becker, Miss. Marion Louise</t>
  </si>
  <si>
    <t>Gavey, Mr. Lawrence</t>
  </si>
  <si>
    <t>31028</t>
  </si>
  <si>
    <t>Yasbeck, Mr. Antoni</t>
  </si>
  <si>
    <t>2659</t>
  </si>
  <si>
    <t>Kimball, Mr. Edwin Nelson Jr</t>
  </si>
  <si>
    <t>11753</t>
  </si>
  <si>
    <t>D19</t>
  </si>
  <si>
    <t>Nakid, Mr. Sahid</t>
  </si>
  <si>
    <t>Hansen, Mr. Henry Damsgaard</t>
  </si>
  <si>
    <t>350029</t>
  </si>
  <si>
    <t>Bowen, Mr. David John "Dai"</t>
  </si>
  <si>
    <t>54636</t>
  </si>
  <si>
    <t>Sutton, Mr. Frederick</t>
  </si>
  <si>
    <t>36963</t>
  </si>
  <si>
    <t>D50</t>
  </si>
  <si>
    <t>Kirkland, Rev. Charles Leonard</t>
  </si>
  <si>
    <t>219533</t>
  </si>
  <si>
    <t>Longley, Miss. Gretchen Fiske</t>
  </si>
  <si>
    <t>D9</t>
  </si>
  <si>
    <t>Bostandyeff, Mr. Guentcho</t>
  </si>
  <si>
    <t>349224</t>
  </si>
  <si>
    <t>O'Connell, Mr. Patrick D</t>
  </si>
  <si>
    <t>334912</t>
  </si>
  <si>
    <t>Barkworth, Mr. Algernon Henry Wilson</t>
  </si>
  <si>
    <t>27042</t>
  </si>
  <si>
    <t>A23</t>
  </si>
  <si>
    <t>Lundahl, Mr. Johan Svensson</t>
  </si>
  <si>
    <t>347743</t>
  </si>
  <si>
    <t>Stahelin-Maeglin, Dr. Max</t>
  </si>
  <si>
    <t>13214</t>
  </si>
  <si>
    <t>B50</t>
  </si>
  <si>
    <t>Parr, Mr. William Henry Marsh</t>
  </si>
  <si>
    <t>112052</t>
  </si>
  <si>
    <t>Skoog, Miss. Mabel</t>
  </si>
  <si>
    <t>Davis, Miss. Mary</t>
  </si>
  <si>
    <t>237668</t>
  </si>
  <si>
    <t>Leinonen, Mr. Antti Gustaf</t>
  </si>
  <si>
    <t>STON/O 2. 3101292</t>
  </si>
  <si>
    <t>Collyer, Mr. Harvey</t>
  </si>
  <si>
    <t>Panula, Mrs. Juha (Maria Emilia Ojala)</t>
  </si>
  <si>
    <t>Thorneycroft, Mr. Percival</t>
  </si>
  <si>
    <t>Jensen, Mr. Hans Peder</t>
  </si>
  <si>
    <t>350050</t>
  </si>
  <si>
    <t>Sagesser, Mlle. Emma</t>
  </si>
  <si>
    <t>Skoog, Miss. Margit Elizabeth</t>
  </si>
  <si>
    <t>Foo, Mr. Choong</t>
  </si>
  <si>
    <t>Baclini, Miss. Eugenie</t>
  </si>
  <si>
    <t>Harper, Mr. Henry Sleeper</t>
  </si>
  <si>
    <t>Cor, Mr. Liudevit</t>
  </si>
  <si>
    <t>349231</t>
  </si>
  <si>
    <t>Simonius-Blumer, Col. Oberst Alfons</t>
  </si>
  <si>
    <t>13213</t>
  </si>
  <si>
    <t>A26</t>
  </si>
  <si>
    <t>Willey, Mr. Edward</t>
  </si>
  <si>
    <t>S.O./P.P. 751</t>
  </si>
  <si>
    <t>Stanley, Miss. Amy Zillah Elsie</t>
  </si>
  <si>
    <t>CA. 2314</t>
  </si>
  <si>
    <t>Mitkoff, Mr. Mito</t>
  </si>
  <si>
    <t>349221</t>
  </si>
  <si>
    <t>Doling, Miss. Elsie</t>
  </si>
  <si>
    <t>Kalvik, Mr. Johannes Halvorsen</t>
  </si>
  <si>
    <t>8475</t>
  </si>
  <si>
    <t>O'Leary, Miss. Hanora "Norah"</t>
  </si>
  <si>
    <t>330919</t>
  </si>
  <si>
    <t>Hegarty, Miss. Hanora "Nora"</t>
  </si>
  <si>
    <t>365226</t>
  </si>
  <si>
    <t>Hickman, Mr. Leonard Mark</t>
  </si>
  <si>
    <t>Radeff, Mr. Alexander</t>
  </si>
  <si>
    <t>349223</t>
  </si>
  <si>
    <t>Bourke, Mrs. John (Catherine)</t>
  </si>
  <si>
    <t>Eitemiller, Mr. George Floyd</t>
  </si>
  <si>
    <t>29751</t>
  </si>
  <si>
    <t>Newell, Mr. Arthur Webster</t>
  </si>
  <si>
    <t>D48</t>
  </si>
  <si>
    <t>Frauenthal, Dr. Henry William</t>
  </si>
  <si>
    <t>Badt, Mr. Mohamed</t>
  </si>
  <si>
    <t>2623</t>
  </si>
  <si>
    <t>Colley, Mr. Edward Pomeroy</t>
  </si>
  <si>
    <t>5727</t>
  </si>
  <si>
    <t>E58</t>
  </si>
  <si>
    <t>Coleff, Mr. Peju</t>
  </si>
  <si>
    <t>349210</t>
  </si>
  <si>
    <t>Lindqvist, Mr. Eino William</t>
  </si>
  <si>
    <t>STON/O 2. 3101285</t>
  </si>
  <si>
    <t>Hickman, Mr. Lewis</t>
  </si>
  <si>
    <t>Butler, Mr. Reginald Fenton</t>
  </si>
  <si>
    <t>234686</t>
  </si>
  <si>
    <t>Rommetvedt, Mr. Knud Paust</t>
  </si>
  <si>
    <t>312993</t>
  </si>
  <si>
    <t>Cook, Mr. Jacob</t>
  </si>
  <si>
    <t>A/5 3536</t>
  </si>
  <si>
    <t>Taylor, Mrs. Elmer Zebley (Juliet Cummins Wright)</t>
  </si>
  <si>
    <t>19996</t>
  </si>
  <si>
    <t>C126</t>
  </si>
  <si>
    <t>Brown, Mrs. Thomas William Solomon (Elizabeth Catherine Ford)</t>
  </si>
  <si>
    <t>29750</t>
  </si>
  <si>
    <t>Davidson, Mr. Thornton</t>
  </si>
  <si>
    <t>F.C. 12750</t>
  </si>
  <si>
    <t>B71</t>
  </si>
  <si>
    <t>Mitchell, Mr. Henry Michael</t>
  </si>
  <si>
    <t>C.A. 24580</t>
  </si>
  <si>
    <t>Wilhelms, Mr. Charles</t>
  </si>
  <si>
    <t>244270</t>
  </si>
  <si>
    <t>Watson, Mr. Ennis Hastings</t>
  </si>
  <si>
    <t>239856</t>
  </si>
  <si>
    <t>Edvardsson, Mr. Gustaf Hjalmar</t>
  </si>
  <si>
    <t>349912</t>
  </si>
  <si>
    <t>Sawyer, Mr. Frederick Charles</t>
  </si>
  <si>
    <t>342826</t>
  </si>
  <si>
    <t>Turja, Miss. Anna Sofia</t>
  </si>
  <si>
    <t>4138</t>
  </si>
  <si>
    <t>Goodwin, Mrs. Frederick (Augusta Tyler)</t>
  </si>
  <si>
    <t>Cardeza, Mr. Thomas Drake Martinez</t>
  </si>
  <si>
    <t>B51 B53 B55</t>
  </si>
  <si>
    <t>Peters, Miss. Katie</t>
  </si>
  <si>
    <t>330935</t>
  </si>
  <si>
    <t>Hassab, Mr. Hammad</t>
  </si>
  <si>
    <t>D49</t>
  </si>
  <si>
    <t>Olsvigen, Mr. Thor Anderson</t>
  </si>
  <si>
    <t>6563</t>
  </si>
  <si>
    <t>Goodwin, Mr. Charles Edward</t>
  </si>
  <si>
    <t>Brown, Mr. Thomas William Solomon</t>
  </si>
  <si>
    <t>Laroche, Mr. Joseph Philippe Lemercier</t>
  </si>
  <si>
    <t>Panula, Mr. Jaako Arnold</t>
  </si>
  <si>
    <t>Dakic, Mr. Branko</t>
  </si>
  <si>
    <t>349228</t>
  </si>
  <si>
    <t>Fischer, Mr. Eberhard Thelander</t>
  </si>
  <si>
    <t>350036</t>
  </si>
  <si>
    <t>Madill, Miss. Georgette Alexandra</t>
  </si>
  <si>
    <t>24160</t>
  </si>
  <si>
    <t>B5</t>
  </si>
  <si>
    <t>Dick, Mr. Albert Adrian</t>
  </si>
  <si>
    <t>17474</t>
  </si>
  <si>
    <t>B20</t>
  </si>
  <si>
    <t>Karun, Miss. Manca</t>
  </si>
  <si>
    <t>349256</t>
  </si>
  <si>
    <t>Lam, Mr. Ali</t>
  </si>
  <si>
    <t>Saad, Mr. Khalil</t>
  </si>
  <si>
    <t>2672</t>
  </si>
  <si>
    <t>Weir, Col. John</t>
  </si>
  <si>
    <t>113800</t>
  </si>
  <si>
    <t>Chapman, Mr. Charles Henry</t>
  </si>
  <si>
    <t>248731</t>
  </si>
  <si>
    <t>Kelly, Mr. James</t>
  </si>
  <si>
    <t>363592</t>
  </si>
  <si>
    <t>Mullens, Miss. Katherine "Katie"</t>
  </si>
  <si>
    <t>35852</t>
  </si>
  <si>
    <t>Thayer, Mr. John Borland</t>
  </si>
  <si>
    <t>Humblen, Mr. Adolf Mathias Nicolai Olsen</t>
  </si>
  <si>
    <t>348121</t>
  </si>
  <si>
    <t>F G63</t>
  </si>
  <si>
    <t>Astor, Mrs. John Jacob (Madeleine Talmadge Force)</t>
  </si>
  <si>
    <t>C62 C64</t>
  </si>
  <si>
    <t>Silverthorne, Mr. Spencer Victor</t>
  </si>
  <si>
    <t>PC 17475</t>
  </si>
  <si>
    <t>E24</t>
  </si>
  <si>
    <t>Barbara, Miss. Saiide</t>
  </si>
  <si>
    <t>Gallagher, Mr. Martin</t>
  </si>
  <si>
    <t>36864</t>
  </si>
  <si>
    <t>Hansen, Mr. Henrik Juul</t>
  </si>
  <si>
    <t>350025</t>
  </si>
  <si>
    <t>Morley, Mr. Henry Samuel ("Mr Henry Marshall")</t>
  </si>
  <si>
    <t>Kelly, Mrs. Florence "Fannie"</t>
  </si>
  <si>
    <t>223596</t>
  </si>
  <si>
    <t>Calderhead, Mr. Edward Pennington</t>
  </si>
  <si>
    <t>PC 17476</t>
  </si>
  <si>
    <t>Cleaver, Miss. Alice</t>
  </si>
  <si>
    <t>Moubarek, Master. Halim Gonios ("William George")</t>
  </si>
  <si>
    <t>Mayne, Mlle. Berthe Antonine ("Mrs de Villiers")</t>
  </si>
  <si>
    <t>PC 17482</t>
  </si>
  <si>
    <t>C90</t>
  </si>
  <si>
    <t>Klaber, Mr. Herman</t>
  </si>
  <si>
    <t>113028</t>
  </si>
  <si>
    <t>Taylor, Mr. Elmer Zebley</t>
  </si>
  <si>
    <t>Larsson, Mr. August Viktor</t>
  </si>
  <si>
    <t>7545</t>
  </si>
  <si>
    <t>Greenberg, Mr. Samuel</t>
  </si>
  <si>
    <t>250647</t>
  </si>
  <si>
    <t>Soholt, Mr. Peter Andreas Lauritz Andersen</t>
  </si>
  <si>
    <t>348124</t>
  </si>
  <si>
    <t>Endres, Miss. Caroline Louise</t>
  </si>
  <si>
    <t>C45</t>
  </si>
  <si>
    <t>Troutt, Miss. Edwina Celia "Winnie"</t>
  </si>
  <si>
    <t>34218</t>
  </si>
  <si>
    <t>McEvoy, Mr. Michael</t>
  </si>
  <si>
    <t>36568</t>
  </si>
  <si>
    <t>Johnson, Mr. Malkolm Joackim</t>
  </si>
  <si>
    <t>347062</t>
  </si>
  <si>
    <t>Harper, Miss. Annie Jessie "Nina"</t>
  </si>
  <si>
    <t>Jensen, Mr. Svend Lauritz</t>
  </si>
  <si>
    <t>350048</t>
  </si>
  <si>
    <t>Gillespie, Mr. William Henry</t>
  </si>
  <si>
    <t>12233</t>
  </si>
  <si>
    <t>Hodges, Mr. Henry Price</t>
  </si>
  <si>
    <t>250643</t>
  </si>
  <si>
    <t>Chambers, Mr. Norman Campbell</t>
  </si>
  <si>
    <t>113806</t>
  </si>
  <si>
    <t>E8</t>
  </si>
  <si>
    <t>Oreskovic, Mr. Luka</t>
  </si>
  <si>
    <t>315094</t>
  </si>
  <si>
    <t>Renouf, Mrs. Peter Henry (Lillian Jefferys)</t>
  </si>
  <si>
    <t>Mannion, Miss. Margareth</t>
  </si>
  <si>
    <t>36866</t>
  </si>
  <si>
    <t>Bryhl, Mr. Kurt Arnold Gottfrid</t>
  </si>
  <si>
    <t>236853</t>
  </si>
  <si>
    <t>Ilmakangas, Miss. Pieta Sofia</t>
  </si>
  <si>
    <t>STON/O2. 3101271</t>
  </si>
  <si>
    <t>Allen, Miss. Elisabeth Walton</t>
  </si>
  <si>
    <t>Hassan, Mr. Houssein G N</t>
  </si>
  <si>
    <t>Knight, Mr. Robert J</t>
  </si>
  <si>
    <t>239855</t>
  </si>
  <si>
    <t>Berriman, Mr. William John</t>
  </si>
  <si>
    <t>28425</t>
  </si>
  <si>
    <t>Troupiansky, Mr. Moses Aaron</t>
  </si>
  <si>
    <t>233639</t>
  </si>
  <si>
    <t>Williams, Mr. Leslie</t>
  </si>
  <si>
    <t>Ford, Mrs. Edward (Margaret Ann Watson)</t>
  </si>
  <si>
    <t>Lesurer, Mr. Gustave J</t>
  </si>
  <si>
    <t>B101</t>
  </si>
  <si>
    <t>Ivanoff, Mr. Kanio</t>
  </si>
  <si>
    <t>349201</t>
  </si>
  <si>
    <t>Nankoff, Mr. Minko</t>
  </si>
  <si>
    <t>349218</t>
  </si>
  <si>
    <t>Hawksford, Mr. Walter James</t>
  </si>
  <si>
    <t>16988</t>
  </si>
  <si>
    <t>D45</t>
  </si>
  <si>
    <t>Cavendish, Mr. Tyrell William</t>
  </si>
  <si>
    <t>C46</t>
  </si>
  <si>
    <t>Ryerson, Miss. Susan Parker "Suzette"</t>
  </si>
  <si>
    <t>McNamee, Mr. Neal</t>
  </si>
  <si>
    <t>376566</t>
  </si>
  <si>
    <t>Stranden, Mr. Juho</t>
  </si>
  <si>
    <t>STON/O 2. 3101288</t>
  </si>
  <si>
    <t>Crosby, Capt. Edward Gifford</t>
  </si>
  <si>
    <t>Abbott, Mr. Rossmore Edward</t>
  </si>
  <si>
    <t>Sinkkonen, Miss. Anna</t>
  </si>
  <si>
    <t>250648</t>
  </si>
  <si>
    <t>Marvin, Mr. Daniel Warner</t>
  </si>
  <si>
    <t>113773</t>
  </si>
  <si>
    <t>D30</t>
  </si>
  <si>
    <t>Connaghton, Mr. Michael</t>
  </si>
  <si>
    <t>335097</t>
  </si>
  <si>
    <t>Wells, Miss. Joan</t>
  </si>
  <si>
    <t>29103</t>
  </si>
  <si>
    <t>Moor, Master. Meier</t>
  </si>
  <si>
    <t>392096</t>
  </si>
  <si>
    <t>E121</t>
  </si>
  <si>
    <t>Vande Velde, Mr. Johannes Joseph</t>
  </si>
  <si>
    <t>345780</t>
  </si>
  <si>
    <t>Jonkoff, Mr. Lalio</t>
  </si>
  <si>
    <t>349204</t>
  </si>
  <si>
    <t>Herman, Mrs. Samuel (Jane Laver)</t>
  </si>
  <si>
    <t>Hamalainen, Master. Viljo</t>
  </si>
  <si>
    <t>Carlsson, Mr. August Sigfrid</t>
  </si>
  <si>
    <t>350042</t>
  </si>
  <si>
    <t>Bailey, Mr. Percy Andrew</t>
  </si>
  <si>
    <t>29108</t>
  </si>
  <si>
    <t>Theobald, Mr. Thomas Leonard</t>
  </si>
  <si>
    <t>363294</t>
  </si>
  <si>
    <t>Rothes, the Countess. of (Lucy Noel Martha Dyer-Edwards)</t>
  </si>
  <si>
    <t>Garfirth, Mr. John</t>
  </si>
  <si>
    <t>Nirva, Mr. Iisakki Antino Aijo</t>
  </si>
  <si>
    <t>SOTON/O2 3101272</t>
  </si>
  <si>
    <t>Barah, Mr. Hanna Assi</t>
  </si>
  <si>
    <t>2663</t>
  </si>
  <si>
    <t>Carter, Mrs. William Ernest (Lucile Polk)</t>
  </si>
  <si>
    <t>Eklund, Mr. Hans Linus</t>
  </si>
  <si>
    <t>347074</t>
  </si>
  <si>
    <t>Hogeboom, Mrs. John C (Anna Andrews)</t>
  </si>
  <si>
    <t>D11</t>
  </si>
  <si>
    <t>Brewe, Dr. Arthur Jackson</t>
  </si>
  <si>
    <t>112379</t>
  </si>
  <si>
    <t>Mangan, Miss. Mary</t>
  </si>
  <si>
    <t>364850</t>
  </si>
  <si>
    <t>Moran, Mr. Daniel J</t>
  </si>
  <si>
    <t>Gronnestad, Mr. Daniel Danielsen</t>
  </si>
  <si>
    <t>8471</t>
  </si>
  <si>
    <t>Lievens, Mr. Rene Aime</t>
  </si>
  <si>
    <t>345781</t>
  </si>
  <si>
    <t>Jensen, Mr. Niels Peder</t>
  </si>
  <si>
    <t>350047</t>
  </si>
  <si>
    <t>Mack, Mrs. (Mary)</t>
  </si>
  <si>
    <t>S.O./P.P. 3</t>
  </si>
  <si>
    <t>E77</t>
  </si>
  <si>
    <t>Elias, Mr. Dibo</t>
  </si>
  <si>
    <t>2674</t>
  </si>
  <si>
    <t>Hocking, Mrs. Elizabeth (Eliza Needs)</t>
  </si>
  <si>
    <t>29105</t>
  </si>
  <si>
    <t>Myhrman, Mr. Pehr Fabian Oliver Malkolm</t>
  </si>
  <si>
    <t>347078</t>
  </si>
  <si>
    <t>Tobin, Mr. Roger</t>
  </si>
  <si>
    <t>383121</t>
  </si>
  <si>
    <t>F38</t>
  </si>
  <si>
    <t>Emanuel, Miss. Virginia Ethel</t>
  </si>
  <si>
    <t>Kilgannon, Mr. Thomas J</t>
  </si>
  <si>
    <t>36865</t>
  </si>
  <si>
    <t>Robert, Mrs. Edward Scott (Elisabeth Walton McMillan)</t>
  </si>
  <si>
    <t>B3</t>
  </si>
  <si>
    <t>Ayoub, Miss. Banoura</t>
  </si>
  <si>
    <t>2687</t>
  </si>
  <si>
    <t>Dick, Mrs. Albert Adrian (Vera Gillespie)</t>
  </si>
  <si>
    <t>Long, Mr. Milton Clyde</t>
  </si>
  <si>
    <t>113501</t>
  </si>
  <si>
    <t>D6</t>
  </si>
  <si>
    <t>Johnston, Mr. Andrew G</t>
  </si>
  <si>
    <t>W./C. 6607</t>
  </si>
  <si>
    <t>Ali, Mr. William</t>
  </si>
  <si>
    <t>SOTON/O.Q. 3101312</t>
  </si>
  <si>
    <t>Harmer, Mr. Abraham (David Lishin)</t>
  </si>
  <si>
    <t>374887</t>
  </si>
  <si>
    <t>Sjoblom, Miss. Anna Sofia</t>
  </si>
  <si>
    <t>3101265</t>
  </si>
  <si>
    <t>Rice, Master. George Hugh</t>
  </si>
  <si>
    <t>Dean, Master. Bertram Vere</t>
  </si>
  <si>
    <t>Guggenheim, Mr. Benjamin</t>
  </si>
  <si>
    <t>B82 B84</t>
  </si>
  <si>
    <t>Keane, Mr. Andrew "Andy"</t>
  </si>
  <si>
    <t>12460</t>
  </si>
  <si>
    <t>Gaskell, Mr. Alfred</t>
  </si>
  <si>
    <t>Sage, Miss. Stella Anna</t>
  </si>
  <si>
    <t>Hoyt, Mr. William Fisher</t>
  </si>
  <si>
    <t>PC 17600</t>
  </si>
  <si>
    <t>Dantcheff, Mr. Ristiu</t>
  </si>
  <si>
    <t>349203</t>
  </si>
  <si>
    <t>Otter, Mr. Richard</t>
  </si>
  <si>
    <t>28213</t>
  </si>
  <si>
    <t>Leader, Dr. Alice (Farnham)</t>
  </si>
  <si>
    <t>17465</t>
  </si>
  <si>
    <t>D17</t>
  </si>
  <si>
    <t>Osman, Mrs. Mara</t>
  </si>
  <si>
    <t>349244</t>
  </si>
  <si>
    <t>Ibrahim Shawah, Mr. Yousseff</t>
  </si>
  <si>
    <t>2685</t>
  </si>
  <si>
    <t>Van Impe, Mrs. Jean Baptiste (Rosalie Paula Govaert)</t>
  </si>
  <si>
    <t>Ponesell, Mr. Martin</t>
  </si>
  <si>
    <t>Collyer, Mrs. Harvey (Charlotte Annie Tate)</t>
  </si>
  <si>
    <t>Carter, Master. William Thornton II</t>
  </si>
  <si>
    <t>Thomas, Master. Assad Alexander</t>
  </si>
  <si>
    <t>2625</t>
  </si>
  <si>
    <t>Hedman, Mr. Oskar Arvid</t>
  </si>
  <si>
    <t>347089</t>
  </si>
  <si>
    <t>Johansson, Mr. Karl Johan</t>
  </si>
  <si>
    <t>347063</t>
  </si>
  <si>
    <t>Andrews, Mr. Thomas Jr</t>
  </si>
  <si>
    <t>112050</t>
  </si>
  <si>
    <t>A36</t>
  </si>
  <si>
    <t>Pettersson, Miss. Ellen Natalia</t>
  </si>
  <si>
    <t>347087</t>
  </si>
  <si>
    <t>Meyer, Mr. August</t>
  </si>
  <si>
    <t>248723</t>
  </si>
  <si>
    <t>Chambers, Mrs. Norman Campbell (Bertha Griggs)</t>
  </si>
  <si>
    <t>Alexander, Mr. William</t>
  </si>
  <si>
    <t>3474</t>
  </si>
  <si>
    <t>Lester, Mr. James</t>
  </si>
  <si>
    <t>Slemen, Mr. Richard James</t>
  </si>
  <si>
    <t>28206</t>
  </si>
  <si>
    <t>Andersson, Miss. Ebba Iris Alfrida</t>
  </si>
  <si>
    <t>Tomlin, Mr. Ernest Portage</t>
  </si>
  <si>
    <t>364499</t>
  </si>
  <si>
    <t>Fry, Mr. Richard</t>
  </si>
  <si>
    <t>112058</t>
  </si>
  <si>
    <t>B102</t>
  </si>
  <si>
    <t>Heininen, Miss. Wendla Maria</t>
  </si>
  <si>
    <t>STON/O2. 3101290</t>
  </si>
  <si>
    <t>Mallet, Mr. Albert</t>
  </si>
  <si>
    <t>S.C./PARIS 2079</t>
  </si>
  <si>
    <t>Holm, Mr. John Fredrik Alexander</t>
  </si>
  <si>
    <t>C 7075</t>
  </si>
  <si>
    <t>Skoog, Master. Karl Thorsten</t>
  </si>
  <si>
    <t>Hays, Mrs. Charles Melville (Clara Jennings Gregg)</t>
  </si>
  <si>
    <t>B69</t>
  </si>
  <si>
    <t>Lulic, Mr. Nikola</t>
  </si>
  <si>
    <t>315098</t>
  </si>
  <si>
    <t>Reuchlin, Jonkheer. John George</t>
  </si>
  <si>
    <t>19972</t>
  </si>
  <si>
    <t>Moor, Mrs. (Beila)</t>
  </si>
  <si>
    <t>Panula, Master. Urho Abraham</t>
  </si>
  <si>
    <t>Flynn, Mr. John</t>
  </si>
  <si>
    <t>368323</t>
  </si>
  <si>
    <t>Lam, Mr. Len</t>
  </si>
  <si>
    <t>Mallet, Master. Andre</t>
  </si>
  <si>
    <t>McCormack, Mr. Thomas Joseph</t>
  </si>
  <si>
    <t>367228</t>
  </si>
  <si>
    <t>Stone, Mrs. George Nelson (Martha Evelyn)</t>
  </si>
  <si>
    <t>Yasbeck, Mrs. Antoni (Selini Alexander)</t>
  </si>
  <si>
    <t>Richards, Master. George Sibley</t>
  </si>
  <si>
    <t>Saad, Mr. Amin</t>
  </si>
  <si>
    <t>2671</t>
  </si>
  <si>
    <t>Augustsson, Mr. Albert</t>
  </si>
  <si>
    <t>347468</t>
  </si>
  <si>
    <t>Allum, Mr. Owen George</t>
  </si>
  <si>
    <t>2223</t>
  </si>
  <si>
    <t>Compton, Miss. Sara Rebecca</t>
  </si>
  <si>
    <t>PC 17756</t>
  </si>
  <si>
    <t>E49</t>
  </si>
  <si>
    <t>Pasic, Mr. Jakob</t>
  </si>
  <si>
    <t>315097</t>
  </si>
  <si>
    <t>Sirota, Mr. Maurice</t>
  </si>
  <si>
    <t>392092</t>
  </si>
  <si>
    <t>Chip, Mr. Chang</t>
  </si>
  <si>
    <t>Marechal, Mr. Pierre</t>
  </si>
  <si>
    <t>11774</t>
  </si>
  <si>
    <t>C47</t>
  </si>
  <si>
    <t>Alhomaki, Mr. Ilmari Rudolf</t>
  </si>
  <si>
    <t>SOTON/O2 3101287</t>
  </si>
  <si>
    <t>Mudd, Mr. Thomas Charles</t>
  </si>
  <si>
    <t>Serepeca, Miss. Augusta</t>
  </si>
  <si>
    <t>Lemberopolous, Mr. Peter L</t>
  </si>
  <si>
    <t>2683</t>
  </si>
  <si>
    <t>Culumovic, Mr. Jeso</t>
  </si>
  <si>
    <t>315090</t>
  </si>
  <si>
    <t>Abbing, Mr. Anthony</t>
  </si>
  <si>
    <t>C.A. 5547</t>
  </si>
  <si>
    <t>Sage, Mr. Douglas Bullen</t>
  </si>
  <si>
    <t>Markoff, Mr. Marin</t>
  </si>
  <si>
    <t>349213</t>
  </si>
  <si>
    <t>Harper, Rev. John</t>
  </si>
  <si>
    <t>Goldenberg, Mrs. Samuel L (Edwiga Grabowska)</t>
  </si>
  <si>
    <t>Andersson, Master. Sigvard Harald Elias</t>
  </si>
  <si>
    <t>Svensson, Mr. Johan</t>
  </si>
  <si>
    <t>347060</t>
  </si>
  <si>
    <t>Boulos, Miss. Nourelain</t>
  </si>
  <si>
    <t>Lines, Miss. Mary Conover</t>
  </si>
  <si>
    <t>PC 17592</t>
  </si>
  <si>
    <t>D28</t>
  </si>
  <si>
    <t>Carter, Mrs. Ernest Courtenay (Lilian Hughes)</t>
  </si>
  <si>
    <t>Aks, Mrs. Sam (Leah Rosen)</t>
  </si>
  <si>
    <t>392091</t>
  </si>
  <si>
    <t>Wick, Mrs. George Dennick (Mary Hitchcock)</t>
  </si>
  <si>
    <t xml:space="preserve">Daly, Mr. Peter Denis </t>
  </si>
  <si>
    <t>113055</t>
  </si>
  <si>
    <t>E17</t>
  </si>
  <si>
    <t>Baclini, Mrs. Solomon (Latifa Qurban)</t>
  </si>
  <si>
    <t>Razi, Mr. Raihed</t>
  </si>
  <si>
    <t>2629</t>
  </si>
  <si>
    <t>Hansen, Mr. Claus Peter</t>
  </si>
  <si>
    <t>350026</t>
  </si>
  <si>
    <t>Giles, Mr. Frederick Edward</t>
  </si>
  <si>
    <t>28134</t>
  </si>
  <si>
    <t>Swift, Mrs. Frederick Joel (Margaret Welles Barron)</t>
  </si>
  <si>
    <t>17466</t>
  </si>
  <si>
    <t>Sage, Miss. Dorothy Edith "Dolly"</t>
  </si>
  <si>
    <t>Gill, Mr. John William</t>
  </si>
  <si>
    <t>233866</t>
  </si>
  <si>
    <t>Bystrom, Mrs. (Karolina)</t>
  </si>
  <si>
    <t>236852</t>
  </si>
  <si>
    <t>Duran y More, Miss. Asuncion</t>
  </si>
  <si>
    <t>SC/PARIS 2149</t>
  </si>
  <si>
    <t>Roebling, Mr. Washington Augustus II</t>
  </si>
  <si>
    <t>PC 17590</t>
  </si>
  <si>
    <t>A24</t>
  </si>
  <si>
    <t>van Melkebeke, Mr. Philemon</t>
  </si>
  <si>
    <t>345777</t>
  </si>
  <si>
    <t>Johnson, Master. Harold Theodor</t>
  </si>
  <si>
    <t>Balkic, Mr. Cerin</t>
  </si>
  <si>
    <t>349248</t>
  </si>
  <si>
    <t>Beckwith, Mrs. Richard Leonard (Sallie Monypeny)</t>
  </si>
  <si>
    <t>Carlsson, Mr. Frans Olof</t>
  </si>
  <si>
    <t>695</t>
  </si>
  <si>
    <t>Vander Cruyssen, Mr. Victor</t>
  </si>
  <si>
    <t>345765</t>
  </si>
  <si>
    <t>Abelson, Mrs. Samuel (Hannah Wizosky)</t>
  </si>
  <si>
    <t>Najib, Miss. Adele Kiamie "Jane"</t>
  </si>
  <si>
    <t>2667</t>
  </si>
  <si>
    <t>Gustafsson, Mr. Alfred Ossian</t>
  </si>
  <si>
    <t>Petroff, Mr. Nedelio</t>
  </si>
  <si>
    <t>349212</t>
  </si>
  <si>
    <t>Laleff, Mr. Kristo</t>
  </si>
  <si>
    <t>349217</t>
  </si>
  <si>
    <t>Potter, Mrs. Thomas Jr (Lily Alexenia Wilson)</t>
  </si>
  <si>
    <t>C50</t>
  </si>
  <si>
    <t>Shelley, Mrs. William (Imanita Parrish Hall)</t>
  </si>
  <si>
    <t>Markun, Mr. Johann</t>
  </si>
  <si>
    <t>349257</t>
  </si>
  <si>
    <t>Dahlberg, Miss. Gerda Ulrika</t>
  </si>
  <si>
    <t>7552</t>
  </si>
  <si>
    <t>Banfield, Mr. Frederick James</t>
  </si>
  <si>
    <t>C.A./SOTON 34068</t>
  </si>
  <si>
    <t>Sutehall, Mr. Henry Jr</t>
  </si>
  <si>
    <t>SOTON/OQ 392076</t>
  </si>
  <si>
    <t>Rice, Mrs. William (Margaret Norton)</t>
  </si>
  <si>
    <t>Montvila, Rev. Juozas</t>
  </si>
  <si>
    <t>211536</t>
  </si>
  <si>
    <t>Graham, Miss. Margaret Edith</t>
  </si>
  <si>
    <t>112053</t>
  </si>
  <si>
    <t>B42</t>
  </si>
  <si>
    <t>Johnston, Miss. Catherine Helen "Carrie"</t>
  </si>
  <si>
    <t>Behr, Mr. Karl Howell</t>
  </si>
  <si>
    <t>111369</t>
  </si>
  <si>
    <t>C148</t>
  </si>
  <si>
    <t>Dooley, Mr. Patrick</t>
  </si>
  <si>
    <t>370376</t>
  </si>
  <si>
    <t>Rk</t>
  </si>
  <si>
    <t>Player</t>
  </si>
  <si>
    <t>Pos</t>
  </si>
  <si>
    <t>Tm</t>
  </si>
  <si>
    <t>G</t>
  </si>
  <si>
    <t>GS</t>
  </si>
  <si>
    <t>MP</t>
  </si>
  <si>
    <t>FG</t>
  </si>
  <si>
    <t>FGA</t>
  </si>
  <si>
    <t>FG%</t>
  </si>
  <si>
    <t>3P</t>
  </si>
  <si>
    <t>3PA</t>
  </si>
  <si>
    <t>3P%</t>
  </si>
  <si>
    <t>2P</t>
  </si>
  <si>
    <t>2PA</t>
  </si>
  <si>
    <t>2P%</t>
  </si>
  <si>
    <t>eFG%</t>
  </si>
  <si>
    <t>FT</t>
  </si>
  <si>
    <t>FTA</t>
  </si>
  <si>
    <t>FT%</t>
  </si>
  <si>
    <t>ORB</t>
  </si>
  <si>
    <t>DRB</t>
  </si>
  <si>
    <t>TRB</t>
  </si>
  <si>
    <t>AST</t>
  </si>
  <si>
    <t>STL</t>
  </si>
  <si>
    <t>BLK</t>
  </si>
  <si>
    <t>TOV</t>
  </si>
  <si>
    <t>PF</t>
  </si>
  <si>
    <t>PTS</t>
  </si>
  <si>
    <t>Quincy Acy</t>
  </si>
  <si>
    <t>NYK</t>
  </si>
  <si>
    <t>Jordan Adams</t>
  </si>
  <si>
    <t>SG</t>
  </si>
  <si>
    <t>MEM</t>
  </si>
  <si>
    <t>Steven Adams</t>
  </si>
  <si>
    <t>OKC</t>
  </si>
  <si>
    <t>Jeff Adrien</t>
  </si>
  <si>
    <t>MIN</t>
  </si>
  <si>
    <t>Arron Afflalo</t>
  </si>
  <si>
    <t>TOT</t>
  </si>
  <si>
    <t>DEN</t>
  </si>
  <si>
    <t>POR</t>
  </si>
  <si>
    <t>Alexis Ajinça</t>
  </si>
  <si>
    <t>NOP</t>
  </si>
  <si>
    <t>Furkan Aldemir</t>
  </si>
  <si>
    <t>PHI</t>
  </si>
  <si>
    <t>Cole Aldrich</t>
  </si>
  <si>
    <t>LaMarcus Aldridge</t>
  </si>
  <si>
    <t>Lavoy Allen</t>
  </si>
  <si>
    <t>IND</t>
  </si>
  <si>
    <t>Tony Allen</t>
  </si>
  <si>
    <t>Al-Farouq Aminu</t>
  </si>
  <si>
    <t>SF</t>
  </si>
  <si>
    <t>DAL</t>
  </si>
  <si>
    <t>Lou Amundson</t>
  </si>
  <si>
    <t>CLE</t>
  </si>
  <si>
    <t>Chris Andersen</t>
  </si>
  <si>
    <t>MIA</t>
  </si>
  <si>
    <t>Alan Anderson</t>
  </si>
  <si>
    <t>BRK</t>
  </si>
  <si>
    <t>Kyle Anderson</t>
  </si>
  <si>
    <t>SAS</t>
  </si>
  <si>
    <t>Ryan Anderson</t>
  </si>
  <si>
    <t>Giannis Antetokounmpo</t>
  </si>
  <si>
    <t>MIL</t>
  </si>
  <si>
    <t>Carmelo Anthony</t>
  </si>
  <si>
    <t>Joel Anthony</t>
  </si>
  <si>
    <t>DET</t>
  </si>
  <si>
    <t>Pero Antić</t>
  </si>
  <si>
    <t>ATL</t>
  </si>
  <si>
    <t>Trevor Ariza</t>
  </si>
  <si>
    <t>HOU</t>
  </si>
  <si>
    <t>Darrell Arthur</t>
  </si>
  <si>
    <t>Ömer Aşık</t>
  </si>
  <si>
    <t>D.J. Augustin</t>
  </si>
  <si>
    <t>PG</t>
  </si>
  <si>
    <t>Jeff Ayres</t>
  </si>
  <si>
    <t>Luke Babbitt</t>
  </si>
  <si>
    <t>Cameron Bairstow</t>
  </si>
  <si>
    <t>CHI</t>
  </si>
  <si>
    <t>Leandro Barbosa</t>
  </si>
  <si>
    <t>GSW</t>
  </si>
  <si>
    <t>J.J. Barea</t>
  </si>
  <si>
    <t>Andrea Bargnani</t>
  </si>
  <si>
    <t>Harrison Barnes</t>
  </si>
  <si>
    <t>Matt Barnes</t>
  </si>
  <si>
    <t>LAC</t>
  </si>
  <si>
    <t>Earl Barron</t>
  </si>
  <si>
    <t>PHO</t>
  </si>
  <si>
    <t>Will Barton</t>
  </si>
  <si>
    <t>Brandon Bass</t>
  </si>
  <si>
    <t>BOS</t>
  </si>
  <si>
    <t>Nicolas Batum</t>
  </si>
  <si>
    <t>Jerryd Bayless</t>
  </si>
  <si>
    <t>Aron Baynes</t>
  </si>
  <si>
    <t>Kent Bazemore</t>
  </si>
  <si>
    <t>Bradley Beal</t>
  </si>
  <si>
    <t>WAS</t>
  </si>
  <si>
    <t>Michael Beasley</t>
  </si>
  <si>
    <t>Marco Belinelli</t>
  </si>
  <si>
    <t>Jerrelle Benimon</t>
  </si>
  <si>
    <t>UTA</t>
  </si>
  <si>
    <t>Anthony Bennett</t>
  </si>
  <si>
    <t>Patrick Beverley</t>
  </si>
  <si>
    <t>Sim Bhullar</t>
  </si>
  <si>
    <t>SAC</t>
  </si>
  <si>
    <t>Bismack Biyombo</t>
  </si>
  <si>
    <t>CHO</t>
  </si>
  <si>
    <t>Tarik Black</t>
  </si>
  <si>
    <t>LAL</t>
  </si>
  <si>
    <t>DeJuan Blair</t>
  </si>
  <si>
    <t>Steve Blake</t>
  </si>
  <si>
    <t>Eric Bledsoe</t>
  </si>
  <si>
    <t>Vander Blue</t>
  </si>
  <si>
    <t>Bojan Bogdanović</t>
  </si>
  <si>
    <t>Andrew Bogut</t>
  </si>
  <si>
    <t>Matt Bonner</t>
  </si>
  <si>
    <t>Trevor Booker</t>
  </si>
  <si>
    <t>Carlos Boozer</t>
  </si>
  <si>
    <t>Chris Bosh*</t>
  </si>
  <si>
    <t>Avery Bradley</t>
  </si>
  <si>
    <t>Elton Brand</t>
  </si>
  <si>
    <t>Corey Brewer</t>
  </si>
  <si>
    <t>Aaron Brooks</t>
  </si>
  <si>
    <t>Jabari Brown</t>
  </si>
  <si>
    <t>Lorenzo Brown</t>
  </si>
  <si>
    <t>Markel Brown</t>
  </si>
  <si>
    <t>Shannon Brown</t>
  </si>
  <si>
    <t>Kobe Bryant*</t>
  </si>
  <si>
    <t>Chase Budinger</t>
  </si>
  <si>
    <t>Reggie Bullock</t>
  </si>
  <si>
    <t>Trey Burke</t>
  </si>
  <si>
    <t>Alec Burks</t>
  </si>
  <si>
    <t>Caron Butler</t>
  </si>
  <si>
    <t>Jimmy Butler</t>
  </si>
  <si>
    <t>Rasual Butler</t>
  </si>
  <si>
    <t>Dwight Buycks</t>
  </si>
  <si>
    <t>Will Bynum</t>
  </si>
  <si>
    <t>Bruno Caboclo</t>
  </si>
  <si>
    <t>TOR</t>
  </si>
  <si>
    <t>Nick Calathes</t>
  </si>
  <si>
    <t>José Calderón</t>
  </si>
  <si>
    <t>Kentavious Caldwell-Pope</t>
  </si>
  <si>
    <t>Isaiah Canaan</t>
  </si>
  <si>
    <t>Clint Capela</t>
  </si>
  <si>
    <t>DeMarre Carroll</t>
  </si>
  <si>
    <t>Vince Carter</t>
  </si>
  <si>
    <t>Michael Carter-Williams</t>
  </si>
  <si>
    <t>Omri Casspi</t>
  </si>
  <si>
    <t>Mario Chalmers</t>
  </si>
  <si>
    <t>Tyson Chandler</t>
  </si>
  <si>
    <t>Wilson Chandler</t>
  </si>
  <si>
    <t>Will Cherry</t>
  </si>
  <si>
    <t>Patrick Christopher</t>
  </si>
  <si>
    <t>Earl Clark</t>
  </si>
  <si>
    <t>Ian Clark</t>
  </si>
  <si>
    <t>Jordan Clarkson</t>
  </si>
  <si>
    <t>Victor Claver</t>
  </si>
  <si>
    <t>Norris Cole</t>
  </si>
  <si>
    <t>Darren Collison</t>
  </si>
  <si>
    <t>Nick Collison</t>
  </si>
  <si>
    <t>Mike Conley</t>
  </si>
  <si>
    <t>Jack Cooley</t>
  </si>
  <si>
    <t>Chris Copeland</t>
  </si>
  <si>
    <t>Bryce Cotton</t>
  </si>
  <si>
    <t>DeMarcus Cousins</t>
  </si>
  <si>
    <t>Robert Covington</t>
  </si>
  <si>
    <t>Allen Crabbe</t>
  </si>
  <si>
    <t>Jamal Crawford</t>
  </si>
  <si>
    <t>Jae Crowder</t>
  </si>
  <si>
    <t>Dante Cunningham</t>
  </si>
  <si>
    <t>Jared Cunningham</t>
  </si>
  <si>
    <t>Seth Curry</t>
  </si>
  <si>
    <t>Stephen Curry</t>
  </si>
  <si>
    <t>Samuel Dalembert</t>
  </si>
  <si>
    <t>Troy Daniels</t>
  </si>
  <si>
    <t>Gigi Datome</t>
  </si>
  <si>
    <t>Brandon Davies</t>
  </si>
  <si>
    <t>Anthony Davis</t>
  </si>
  <si>
    <t>Ed Davis</t>
  </si>
  <si>
    <t>Glen Davis</t>
  </si>
  <si>
    <t>Andre Dawkins</t>
  </si>
  <si>
    <t>Austin Daye</t>
  </si>
  <si>
    <t>Dewayne Dedmon</t>
  </si>
  <si>
    <t>ORL</t>
  </si>
  <si>
    <t>Matthew Dellavedova</t>
  </si>
  <si>
    <t>Luol Deng</t>
  </si>
  <si>
    <t>DeMar DeRozan</t>
  </si>
  <si>
    <t>Boris Diaw</t>
  </si>
  <si>
    <t>Gorgui Dieng</t>
  </si>
  <si>
    <t>Spencer Dinwiddie</t>
  </si>
  <si>
    <t>Joey Dorsey</t>
  </si>
  <si>
    <t>Toney Douglas</t>
  </si>
  <si>
    <t>Chris Douglas-Roberts</t>
  </si>
  <si>
    <t>Goran Dragić</t>
  </si>
  <si>
    <t>SG-PG</t>
  </si>
  <si>
    <t>Zoran Dragić</t>
  </si>
  <si>
    <t>Larry Drew II</t>
  </si>
  <si>
    <t>Andre Drummond</t>
  </si>
  <si>
    <t>Jared Dudley</t>
  </si>
  <si>
    <t>Tim Duncan*</t>
  </si>
  <si>
    <t>Mike Dunleavy</t>
  </si>
  <si>
    <t>Kevin Durant</t>
  </si>
  <si>
    <t>Cleanthony Early</t>
  </si>
  <si>
    <t>Wayne Ellington</t>
  </si>
  <si>
    <t>Monta Ellis</t>
  </si>
  <si>
    <t>James Ennis III</t>
  </si>
  <si>
    <t>Tyler Ennis</t>
  </si>
  <si>
    <t>Jeremy Evans</t>
  </si>
  <si>
    <t>Reggie Evans</t>
  </si>
  <si>
    <t>Tyreke Evans</t>
  </si>
  <si>
    <t>Dante Exum</t>
  </si>
  <si>
    <t>Festus Ezeli</t>
  </si>
  <si>
    <t>Kenneth Faried</t>
  </si>
  <si>
    <t>Jordan Farmar</t>
  </si>
  <si>
    <t>Derrick Favors</t>
  </si>
  <si>
    <t>Raymond Felton</t>
  </si>
  <si>
    <t>Landry Fields</t>
  </si>
  <si>
    <t>Evan Fournier</t>
  </si>
  <si>
    <t>Randy Foye</t>
  </si>
  <si>
    <t>Jamaal Franklin</t>
  </si>
  <si>
    <t>Tim Frazier</t>
  </si>
  <si>
    <t>Jimmer Fredette</t>
  </si>
  <si>
    <t>Enes Freedom</t>
  </si>
  <si>
    <t>Joel Freeland</t>
  </si>
  <si>
    <t>Channing Frye</t>
  </si>
  <si>
    <t>Danilo Gallinari</t>
  </si>
  <si>
    <t>Langston Galloway</t>
  </si>
  <si>
    <t>Francisco García</t>
  </si>
  <si>
    <t>Kevin Garnett*</t>
  </si>
  <si>
    <t>Marc Gasol</t>
  </si>
  <si>
    <t>Pau Gasol*</t>
  </si>
  <si>
    <t>Rudy Gay</t>
  </si>
  <si>
    <t>Alonzo Gee</t>
  </si>
  <si>
    <t>Paul George</t>
  </si>
  <si>
    <t>Taj Gibson</t>
  </si>
  <si>
    <t>Manu Ginóbili*</t>
  </si>
  <si>
    <t>Rudy Gobert</t>
  </si>
  <si>
    <t>Drew Gooden</t>
  </si>
  <si>
    <t>Archie Goodwin</t>
  </si>
  <si>
    <t>Aaron Gordon</t>
  </si>
  <si>
    <t>Ben Gordon</t>
  </si>
  <si>
    <t>Drew Gordon</t>
  </si>
  <si>
    <t>Eric Gordon</t>
  </si>
  <si>
    <t>Marcin Gortat</t>
  </si>
  <si>
    <t>Danny Granger</t>
  </si>
  <si>
    <t>Jerami Grant</t>
  </si>
  <si>
    <t>Danny Green</t>
  </si>
  <si>
    <t>Draymond Green</t>
  </si>
  <si>
    <t>Erick Green</t>
  </si>
  <si>
    <t>Gerald Green</t>
  </si>
  <si>
    <t>JaMychal Green</t>
  </si>
  <si>
    <t>Jeff Green</t>
  </si>
  <si>
    <t>Willie Green</t>
  </si>
  <si>
    <t>Blake Griffin</t>
  </si>
  <si>
    <t>Jorge Gutiérrez</t>
  </si>
  <si>
    <t>P.J. Hairston</t>
  </si>
  <si>
    <t>Jordan Hamilton</t>
  </si>
  <si>
    <t>Justin Hamilton</t>
  </si>
  <si>
    <t>Tyler Hansbrough</t>
  </si>
  <si>
    <t>Tim Hardaway Jr.</t>
  </si>
  <si>
    <t>James Harden</t>
  </si>
  <si>
    <t>Maurice Harkless</t>
  </si>
  <si>
    <t>Devin Harris</t>
  </si>
  <si>
    <t>Gary Harris</t>
  </si>
  <si>
    <t>Joe Harris</t>
  </si>
  <si>
    <t>Tobias Harris</t>
  </si>
  <si>
    <t>Udonis Haslem</t>
  </si>
  <si>
    <t>Spencer Hawes</t>
  </si>
  <si>
    <t>Chuck Hayes</t>
  </si>
  <si>
    <t>Gordon Hayward</t>
  </si>
  <si>
    <t>Brendan Haywood</t>
  </si>
  <si>
    <t>Gerald Henderson</t>
  </si>
  <si>
    <t>Xavier Henry</t>
  </si>
  <si>
    <t>John Henson</t>
  </si>
  <si>
    <t>Roy Hibbert</t>
  </si>
  <si>
    <t>J.J. Hickson</t>
  </si>
  <si>
    <t>Nenê</t>
  </si>
  <si>
    <t>George Hill</t>
  </si>
  <si>
    <t>Jordan Hill</t>
  </si>
  <si>
    <t>Solomon Hill</t>
  </si>
  <si>
    <t>Kirk Hinrich</t>
  </si>
  <si>
    <t>Jrue Holiday</t>
  </si>
  <si>
    <t>Justin Holiday</t>
  </si>
  <si>
    <t>Ryan Hollins</t>
  </si>
  <si>
    <t>Rodney Hood</t>
  </si>
  <si>
    <t>Al Horford</t>
  </si>
  <si>
    <t>Dwight Howard</t>
  </si>
  <si>
    <t>Lester Hudson</t>
  </si>
  <si>
    <t>Robbie Hummel</t>
  </si>
  <si>
    <t>Kris Humphries</t>
  </si>
  <si>
    <t>Serge Ibaka</t>
  </si>
  <si>
    <t>Andre Iguodala</t>
  </si>
  <si>
    <t>Ersan İlyasova</t>
  </si>
  <si>
    <t>Joe Ingles</t>
  </si>
  <si>
    <t>Kyrie Irving</t>
  </si>
  <si>
    <t>Jarrett Jack</t>
  </si>
  <si>
    <t>Reggie Jackson</t>
  </si>
  <si>
    <t>Bernard James</t>
  </si>
  <si>
    <t>LeBron James</t>
  </si>
  <si>
    <t>Al Jefferson</t>
  </si>
  <si>
    <t>Cory Jefferson</t>
  </si>
  <si>
    <t>Richard Jefferson</t>
  </si>
  <si>
    <t>John Jenkins</t>
  </si>
  <si>
    <t>Brandon Jennings</t>
  </si>
  <si>
    <t>Jonas Jerebko</t>
  </si>
  <si>
    <t>Grant Jerrett</t>
  </si>
  <si>
    <t>Amir Johnson</t>
  </si>
  <si>
    <t>Chris Johnson</t>
  </si>
  <si>
    <t>James Johnson</t>
  </si>
  <si>
    <t>Joe Johnson</t>
  </si>
  <si>
    <t>Nick Johnson</t>
  </si>
  <si>
    <t>Tyler Johnson</t>
  </si>
  <si>
    <t>Wesley Johnson</t>
  </si>
  <si>
    <t>Dahntay Jones</t>
  </si>
  <si>
    <t>James Jones</t>
  </si>
  <si>
    <t>Perry Jones</t>
  </si>
  <si>
    <t>Terrence Jones</t>
  </si>
  <si>
    <t>DeAndre Jordan</t>
  </si>
  <si>
    <t>Jerome Jordan</t>
  </si>
  <si>
    <t>Cory Joseph</t>
  </si>
  <si>
    <t>Chris Kaman</t>
  </si>
  <si>
    <t>Sergey Karasev</t>
  </si>
  <si>
    <t>Ryan Kelly</t>
  </si>
  <si>
    <t>Michael Kidd-Gilchrist</t>
  </si>
  <si>
    <t>Sean Kilpatrick</t>
  </si>
  <si>
    <t>Andrei Kirilenko</t>
  </si>
  <si>
    <t>Alex Kirk</t>
  </si>
  <si>
    <t>Brandon Knight</t>
  </si>
  <si>
    <t>PG-SG</t>
  </si>
  <si>
    <t>Kyle Korver</t>
  </si>
  <si>
    <t>Kosta Koufos</t>
  </si>
  <si>
    <t>Ognjen Kuzmić</t>
  </si>
  <si>
    <t>Jeremy Lamb</t>
  </si>
  <si>
    <t>Carl Landry</t>
  </si>
  <si>
    <t>Shane Larkin</t>
  </si>
  <si>
    <t>Joffrey Lauvergne</t>
  </si>
  <si>
    <t>Zach LaVine</t>
  </si>
  <si>
    <t>Ty Lawson</t>
  </si>
  <si>
    <t>Ricky Ledo</t>
  </si>
  <si>
    <t>Courtney Lee</t>
  </si>
  <si>
    <t>David Lee</t>
  </si>
  <si>
    <t>Malcolm Lee</t>
  </si>
  <si>
    <t>Alex Len</t>
  </si>
  <si>
    <t>Kawhi Leonard</t>
  </si>
  <si>
    <t>Meyers Leonard</t>
  </si>
  <si>
    <t>Jon Leuer</t>
  </si>
  <si>
    <t>Damian Lillard</t>
  </si>
  <si>
    <t>Jeremy Lin</t>
  </si>
  <si>
    <t>Shaun Livingston</t>
  </si>
  <si>
    <t>Brook Lopez</t>
  </si>
  <si>
    <t>Robin Lopez</t>
  </si>
  <si>
    <t>Kevin Love</t>
  </si>
  <si>
    <t>Kyle Lowry</t>
  </si>
  <si>
    <t>Kalin Lucas</t>
  </si>
  <si>
    <t>John Lucas III</t>
  </si>
  <si>
    <t>Shelvin Mack</t>
  </si>
  <si>
    <t>Ian Mahinmi</t>
  </si>
  <si>
    <t>Devyn Marble</t>
  </si>
  <si>
    <t>Shawn Marion</t>
  </si>
  <si>
    <t>Kendall Marshall</t>
  </si>
  <si>
    <t>Cartier Martin</t>
  </si>
  <si>
    <t>Kenyon Martin</t>
  </si>
  <si>
    <t>Kevin Martin</t>
  </si>
  <si>
    <t>Wesley Matthews</t>
  </si>
  <si>
    <t>Jason Maxiell</t>
  </si>
  <si>
    <t>O.J. Mayo</t>
  </si>
  <si>
    <t>Luc Mbah a Moute</t>
  </si>
  <si>
    <t>James Michael McAdoo</t>
  </si>
  <si>
    <t>Ray McCallum</t>
  </si>
  <si>
    <t>CJ McCollum</t>
  </si>
  <si>
    <t>K.J. McDaniels</t>
  </si>
  <si>
    <t>Doug McDermott</t>
  </si>
  <si>
    <t>Mitch McGary</t>
  </si>
  <si>
    <t>JaVale McGee</t>
  </si>
  <si>
    <t>Ben McLemore</t>
  </si>
  <si>
    <t>Jerel McNeal</t>
  </si>
  <si>
    <t>Josh McRoberts</t>
  </si>
  <si>
    <t>Jodie Meeks</t>
  </si>
  <si>
    <t>Gal Mekel</t>
  </si>
  <si>
    <t>Khris Middleton</t>
  </si>
  <si>
    <t>C.J. Miles</t>
  </si>
  <si>
    <t>Andre Miller</t>
  </si>
  <si>
    <t>Darius Miller</t>
  </si>
  <si>
    <t>Mike Miller</t>
  </si>
  <si>
    <t>Quincy Miller</t>
  </si>
  <si>
    <t>Patty Mills</t>
  </si>
  <si>
    <t>Elijah Millsap</t>
  </si>
  <si>
    <t>Paul Millsap</t>
  </si>
  <si>
    <t>Nikola Mirotić</t>
  </si>
  <si>
    <t>Nazr Mohammed</t>
  </si>
  <si>
    <t>Greg Monroe</t>
  </si>
  <si>
    <t>E'Twaun Moore</t>
  </si>
  <si>
    <t>Eric Moreland</t>
  </si>
  <si>
    <t>Darius Morris</t>
  </si>
  <si>
    <t>Marcus Morris</t>
  </si>
  <si>
    <t>Markieff Morris</t>
  </si>
  <si>
    <t>Anthony Morrow</t>
  </si>
  <si>
    <t>Donatas Motiejūnas</t>
  </si>
  <si>
    <t>Timofey Mozgov</t>
  </si>
  <si>
    <t>Shabazz Muhammad</t>
  </si>
  <si>
    <t>Toure' Murry</t>
  </si>
  <si>
    <t>Mike Muscala</t>
  </si>
  <si>
    <t>Shabazz Napier</t>
  </si>
  <si>
    <t>Gary Neal</t>
  </si>
  <si>
    <t>Jameer Nelson</t>
  </si>
  <si>
    <t>Andrew Nicholson</t>
  </si>
  <si>
    <t>Joakim Noah</t>
  </si>
  <si>
    <t>Nerlens Noel</t>
  </si>
  <si>
    <t>Lucas Nogueira</t>
  </si>
  <si>
    <t>Steve Novak</t>
  </si>
  <si>
    <t>SF-PF</t>
  </si>
  <si>
    <t>Dirk Nowitzki*</t>
  </si>
  <si>
    <t>Jusuf Nurkić</t>
  </si>
  <si>
    <t>Johnny O'Bryant</t>
  </si>
  <si>
    <t>Kyle O'Quinn</t>
  </si>
  <si>
    <t>Victor Oladipo</t>
  </si>
  <si>
    <t>Kelly Olynyk</t>
  </si>
  <si>
    <t>Arinze Onuaku</t>
  </si>
  <si>
    <t>Zaza Pachulia</t>
  </si>
  <si>
    <t>Kostas Papanikolaou</t>
  </si>
  <si>
    <t>Jannero Pargo</t>
  </si>
  <si>
    <t>Jabari Parker</t>
  </si>
  <si>
    <t>Tony Parker*</t>
  </si>
  <si>
    <t>Chandler Parsons</t>
  </si>
  <si>
    <t>Patrick Patterson</t>
  </si>
  <si>
    <t>Chris Paul</t>
  </si>
  <si>
    <t>Adreian Payne</t>
  </si>
  <si>
    <t>Elfrid Payton</t>
  </si>
  <si>
    <t>Nikola Peković</t>
  </si>
  <si>
    <t>Kendrick Perkins</t>
  </si>
  <si>
    <t>Paul Pierce*</t>
  </si>
  <si>
    <t>Mason Plumlee</t>
  </si>
  <si>
    <t>Miles Plumlee</t>
  </si>
  <si>
    <t>Quincy Pondexter</t>
  </si>
  <si>
    <t>SF-SG</t>
  </si>
  <si>
    <t>Otto Porter Jr.</t>
  </si>
  <si>
    <t>Dwight Powell</t>
  </si>
  <si>
    <t>Phil Pressey</t>
  </si>
  <si>
    <t>A.J. Price</t>
  </si>
  <si>
    <t>Ronnie Price</t>
  </si>
  <si>
    <t>Pablo Prigioni</t>
  </si>
  <si>
    <t>Tayshaun Prince</t>
  </si>
  <si>
    <t>Miroslav Raduljica</t>
  </si>
  <si>
    <t>Julius Randle</t>
  </si>
  <si>
    <t>Shavlik Randolph</t>
  </si>
  <si>
    <t>Zach Randolph</t>
  </si>
  <si>
    <t>JJ Redick</t>
  </si>
  <si>
    <t>Glen Rice Jr.</t>
  </si>
  <si>
    <t>Jason Richardson</t>
  </si>
  <si>
    <t>Luke Ridnour</t>
  </si>
  <si>
    <t>Austin Rivers</t>
  </si>
  <si>
    <t>Andre Roberson</t>
  </si>
  <si>
    <t>Brian Roberts</t>
  </si>
  <si>
    <t>Glenn Robinson III</t>
  </si>
  <si>
    <t>SG-SF</t>
  </si>
  <si>
    <t>Nate Robinson</t>
  </si>
  <si>
    <t>Thomas Robinson</t>
  </si>
  <si>
    <t>Rajon Rondo</t>
  </si>
  <si>
    <t>Derrick Rose</t>
  </si>
  <si>
    <t>Terrence Ross</t>
  </si>
  <si>
    <t>Ricky Rubio</t>
  </si>
  <si>
    <t>Damjan Rudež</t>
  </si>
  <si>
    <t>Brandon Rush</t>
  </si>
  <si>
    <t>Robert Sacre</t>
  </si>
  <si>
    <t>John Salmons</t>
  </si>
  <si>
    <t>JaKarr Sampson</t>
  </si>
  <si>
    <t>Larry Sanders</t>
  </si>
  <si>
    <t>Dennis Schröder</t>
  </si>
  <si>
    <t>Luis Scola</t>
  </si>
  <si>
    <t>Mike Scott</t>
  </si>
  <si>
    <t>Thabo Sefolosha</t>
  </si>
  <si>
    <t>Kevin Séraphin</t>
  </si>
  <si>
    <t>Ramon Sessions</t>
  </si>
  <si>
    <t>Iman Shumpert</t>
  </si>
  <si>
    <t>Alexey Shved</t>
  </si>
  <si>
    <t>Henry Sims</t>
  </si>
  <si>
    <t>Kyle Singler</t>
  </si>
  <si>
    <t>Donald Sloan</t>
  </si>
  <si>
    <t>Marcus Smart</t>
  </si>
  <si>
    <t>Greg Smith</t>
  </si>
  <si>
    <t>Ish Smith</t>
  </si>
  <si>
    <t>J.R. Smith</t>
  </si>
  <si>
    <t>Jason Smith</t>
  </si>
  <si>
    <t>Josh Smith</t>
  </si>
  <si>
    <t>Russ Smith</t>
  </si>
  <si>
    <t>Tony Snell</t>
  </si>
  <si>
    <t>Marreese Speights</t>
  </si>
  <si>
    <t>Tiago Splitter</t>
  </si>
  <si>
    <t>Nik Stauskas</t>
  </si>
  <si>
    <t>Lance Stephenson</t>
  </si>
  <si>
    <t>Greg Stiemsma</t>
  </si>
  <si>
    <t>David Stockton</t>
  </si>
  <si>
    <t>Jarnell Stokes</t>
  </si>
  <si>
    <t>Amar'e Stoudemire</t>
  </si>
  <si>
    <t>Rodney Stuckey</t>
  </si>
  <si>
    <t>Jared Sullinger</t>
  </si>
  <si>
    <t>Jeff Taylor</t>
  </si>
  <si>
    <t>Jeff Teague</t>
  </si>
  <si>
    <t>Mirza Teletović</t>
  </si>
  <si>
    <t>Sebastian Telfair</t>
  </si>
  <si>
    <t>Garrett Temple</t>
  </si>
  <si>
    <t>Jason Terry</t>
  </si>
  <si>
    <t>Isaiah Thomas</t>
  </si>
  <si>
    <t>Lance Thomas</t>
  </si>
  <si>
    <t>PF-SF</t>
  </si>
  <si>
    <t>Malcolm Thomas</t>
  </si>
  <si>
    <t>Tyrus Thomas</t>
  </si>
  <si>
    <t>Hollis Thompson</t>
  </si>
  <si>
    <t>Jason Thompson</t>
  </si>
  <si>
    <t>Klay Thompson</t>
  </si>
  <si>
    <t>Tristan Thompson</t>
  </si>
  <si>
    <t>Marcus Thornton</t>
  </si>
  <si>
    <t>Anthony Tolliver</t>
  </si>
  <si>
    <t>P.J. Tucker</t>
  </si>
  <si>
    <t>Ronny Turiaf</t>
  </si>
  <si>
    <t>Hedo Türkoğlu</t>
  </si>
  <si>
    <t>Evan Turner</t>
  </si>
  <si>
    <t>Ekpe Udoh</t>
  </si>
  <si>
    <t>Beno Udrih</t>
  </si>
  <si>
    <t>Jonas Valančiūnas</t>
  </si>
  <si>
    <t>Anderson Varejão</t>
  </si>
  <si>
    <t>Greivis Vásquez</t>
  </si>
  <si>
    <t>Charlie Villanueva</t>
  </si>
  <si>
    <t>Noah Vonleh</t>
  </si>
  <si>
    <t>Nikola Vučević</t>
  </si>
  <si>
    <t>Dwyane Wade*</t>
  </si>
  <si>
    <t>Dion Waiters</t>
  </si>
  <si>
    <t>Henry Walker</t>
  </si>
  <si>
    <t>Kemba Walker</t>
  </si>
  <si>
    <t>John Wall</t>
  </si>
  <si>
    <t>Gerald Wallace</t>
  </si>
  <si>
    <t>T.J. Warren</t>
  </si>
  <si>
    <t>C.J. Watson</t>
  </si>
  <si>
    <t>David Wear</t>
  </si>
  <si>
    <t>Travis Wear</t>
  </si>
  <si>
    <t>Martell Webster</t>
  </si>
  <si>
    <t>David West</t>
  </si>
  <si>
    <t>Russell Westbrook</t>
  </si>
  <si>
    <t>Hassan Whiteside</t>
  </si>
  <si>
    <t>Shayne Whittington</t>
  </si>
  <si>
    <t>Andrew Wiggins</t>
  </si>
  <si>
    <t>C.J. Wilcox</t>
  </si>
  <si>
    <t>Deron Williams</t>
  </si>
  <si>
    <t>Derrick Williams</t>
  </si>
  <si>
    <t>Elliot Williams</t>
  </si>
  <si>
    <t>Lou Williams</t>
  </si>
  <si>
    <t>Marvin Williams</t>
  </si>
  <si>
    <t>Mo Williams</t>
  </si>
  <si>
    <t>Reggie Williams</t>
  </si>
  <si>
    <t>Shawne Williams</t>
  </si>
  <si>
    <t>Jeff Withey</t>
  </si>
  <si>
    <t>Nate Wolters</t>
  </si>
  <si>
    <t>Brandan Wright</t>
  </si>
  <si>
    <t>Dorell Wright</t>
  </si>
  <si>
    <t>Tony Wroten</t>
  </si>
  <si>
    <t>James Young</t>
  </si>
  <si>
    <t>Nick Young</t>
  </si>
  <si>
    <t>Thaddeus Young</t>
  </si>
  <si>
    <t>Cody Zeller</t>
  </si>
  <si>
    <t>Tyler Zeller</t>
  </si>
  <si>
    <t>URL_DATA</t>
  </si>
  <si>
    <t>Pandas Advanced Analysis With Titanic Dataset</t>
  </si>
  <si>
    <t>Python Formula =py</t>
  </si>
  <si>
    <t>Dataset Load</t>
  </si>
  <si>
    <t>Head ()</t>
  </si>
  <si>
    <t>Type()</t>
  </si>
  <si>
    <t>Dtypes</t>
  </si>
  <si>
    <t>Describe()</t>
  </si>
  <si>
    <t>Run Code = ctrl+enter</t>
  </si>
  <si>
    <t>NaN</t>
  </si>
  <si>
    <t>New Colunm Add</t>
  </si>
  <si>
    <t>Apply Python Formula =PY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</si>
</sst>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1"/>
      <color theme="1"/>
      <name val="Calibri"/>
      <family val="2"/>
      <scheme val="minor"/>
    </font>
    <font>
      <u/>
      <sz val="11"/>
      <color theme="1"/>
      <name val="Calibri"/>
      <family val="2"/>
      <scheme val="minor"/>
    </font>
    <font>
      <b/>
      <u/>
      <sz val="11"/>
      <color theme="1"/>
      <name val="Calibri"/>
      <family val="2"/>
      <scheme val="minor"/>
    </font>
    <font>
      <b/>
      <sz val="11"/>
      <color theme="0"/>
      <name val="Calibri"/>
      <family val="2"/>
      <scheme val="minor"/>
    </font>
    <font>
      <b/>
      <sz val="14"/>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7030A0"/>
        <bgColor indexed="64"/>
      </patternFill>
    </fill>
    <fill>
      <patternFill patternType="solid">
        <fgColor rgb="FF00B0F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1">
    <xf numFmtId="0" fontId="0" fillId="0" borderId="0" xfId="0"/>
    <xf numFmtId="0" fontId="2" fillId="2" borderId="0" xfId="0" applyFont="1" applyFill="1"/>
    <xf numFmtId="0" fontId="0" fillId="2" borderId="0" xfId="0" applyFill="1"/>
    <xf numFmtId="0" fontId="0" fillId="2" borderId="0" xfId="0" quotePrefix="1" applyFill="1"/>
    <xf numFmtId="0" fontId="1" fillId="2" borderId="0" xfId="0" applyFont="1" applyFill="1"/>
    <xf numFmtId="0" fontId="1" fillId="2" borderId="1" xfId="0" applyFont="1" applyFill="1" applyBorder="1"/>
    <xf numFmtId="0" fontId="1" fillId="2" borderId="2" xfId="0" applyFont="1"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 xfId="0" applyFill="1" applyBorder="1"/>
    <xf numFmtId="0" fontId="0" fillId="2" borderId="0" xfId="0" applyFill="1" applyAlignment="1">
      <alignment horizontal="left"/>
    </xf>
    <xf numFmtId="0" fontId="0" fillId="2" borderId="7" xfId="0" applyFill="1" applyBorder="1" applyAlignment="1">
      <alignment horizontal="left"/>
    </xf>
    <xf numFmtId="0" fontId="1" fillId="0" borderId="0" xfId="0" applyFont="1"/>
    <xf numFmtId="0" fontId="1" fillId="3" borderId="0" xfId="0" applyFont="1" applyFill="1" applyAlignment="1">
      <alignment horizontal="center"/>
    </xf>
    <xf numFmtId="0" fontId="1" fillId="4" borderId="0" xfId="0" applyFont="1" applyFill="1"/>
    <xf numFmtId="0" fontId="1" fillId="5" borderId="0" xfId="0" applyFont="1" applyFill="1"/>
    <xf numFmtId="0" fontId="1" fillId="6" borderId="0" xfId="0" applyFont="1" applyFill="1"/>
    <xf numFmtId="0" fontId="4" fillId="7" borderId="0" xfId="0" applyFont="1" applyFill="1"/>
    <xf numFmtId="0" fontId="0" fillId="0" borderId="0" xfId="0" applyAlignment="1">
      <alignment horizontal="left"/>
    </xf>
    <xf numFmtId="0" fontId="0" fillId="0" borderId="0" xfId="0" applyFont="1"/>
    <xf numFmtId="0" fontId="5" fillId="8" borderId="0" xfId="0" applyFont="1" applyFill="1"/>
    <xf numFmtId="0" fontId="0" fillId="8" borderId="0" xfId="0" applyFill="1"/>
    <xf numFmtId="0" fontId="1" fillId="8" borderId="0" xfId="0" applyFont="1" applyFill="1"/>
  </cellXfs>
  <cellStyles count="1">
    <cellStyle name="Normal" xfId="0" builtinId="0"/>
  </cellStyles>
  <dxfs count="2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D848D030-4032-4DF2-A681-6D6264281F65}"/>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Array" Target="richData/rdarray.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23/09/relationships/Python" Target="python.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520BCEE-F6E0-4B81-AC2D-2690B6F8365A}" autoFormatId="16" applyNumberFormats="0" applyBorderFormats="0" applyFontFormats="0" applyPatternFormats="0" applyAlignmentFormats="0" applyWidthHeightFormats="0">
  <queryTableRefresh nextId="23">
    <queryTableFields count="22">
      <queryTableField id="1" name="id" tableColumnId="1"/>
      <queryTableField id="2" name="location_id" tableColumnId="2"/>
      <queryTableField id="3" name="program_id" tableColumnId="3"/>
      <queryTableField id="4" name="accepted_payments" tableColumnId="4"/>
      <queryTableField id="5" name="alternate_name" tableColumnId="5"/>
      <queryTableField id="6" name="application_process" tableColumnId="6"/>
      <queryTableField id="7" name="audience" tableColumnId="7"/>
      <queryTableField id="8" name="description" tableColumnId="8"/>
      <queryTableField id="9" name="eligibility" tableColumnId="9"/>
      <queryTableField id="10" name="email" tableColumnId="10"/>
      <queryTableField id="11" name="fees" tableColumnId="11"/>
      <queryTableField id="12" name="funding_sources" tableColumnId="12"/>
      <queryTableField id="13" name="interpretation_services" tableColumnId="13"/>
      <queryTableField id="14" name="keywords" tableColumnId="14"/>
      <queryTableField id="15" name="languages" tableColumnId="15"/>
      <queryTableField id="16" name="name" tableColumnId="16"/>
      <queryTableField id="17" name="required_documents" tableColumnId="17"/>
      <queryTableField id="18" name="service_areas" tableColumnId="18"/>
      <queryTableField id="19" name="status" tableColumnId="19"/>
      <queryTableField id="20" name="wait_time" tableColumnId="20"/>
      <queryTableField id="21" name="website" tableColumnId="21"/>
      <queryTableField id="22" name="taxonomy_ids"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F8372320-D3A0-4AE1-A987-8E30ADECEF26}" autoFormatId="16" applyNumberFormats="0" applyBorderFormats="0" applyFontFormats="0" applyPatternFormats="0" applyAlignmentFormats="0" applyWidthHeightFormats="0">
  <queryTableRefresh nextId="13">
    <queryTableFields count="12">
      <queryTableField id="1" name="PassengerId" tableColumnId="1"/>
      <queryTableField id="2" name="Survived" tableColumnId="2"/>
      <queryTableField id="3" name="Pclass" tableColumnId="3"/>
      <queryTableField id="4" name="Name" tableColumnId="4"/>
      <queryTableField id="5" name="Sex" tableColumnId="5"/>
      <queryTableField id="6" name="Age" tableColumnId="6"/>
      <queryTableField id="7" name="SibSp" tableColumnId="7"/>
      <queryTableField id="8" name="Parch" tableColumnId="8"/>
      <queryTableField id="9" name="Ticket" tableColumnId="9"/>
      <queryTableField id="10" name="Fare" tableColumnId="10"/>
      <queryTableField id="11" name="Cabin" tableColumnId="11"/>
      <queryTableField id="12" name="Embarked" tableColumnId="12"/>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6">
  <a r="12" c="11">
    <v t="s">id</v>
    <v t="s">location_id</v>
    <v t="s">program_id</v>
    <v t="s">accepted_payments</v>
    <v t="s">alternate_name</v>
    <v t="s">...</v>
    <v t="s">service_areas</v>
    <v t="s">status</v>
    <v t="s">wait_time</v>
    <v t="s">website</v>
    <v t="s">taxonomy_ids</v>
    <v>1</v>
    <v>1</v>
    <v t="s"/>
    <v t="s"/>
    <v t="s"/>
    <v t="s">...</v>
    <v t="s">Colma</v>
    <v t="s">active</v>
    <v t="s">No wait.</v>
    <v t="s"/>
    <v t="s"/>
    <v>2</v>
    <v>2</v>
    <v t="s"/>
    <v t="s"/>
    <v t="s"/>
    <v t="s">...</v>
    <v t="s">San Mateo County</v>
    <v t="s">active</v>
    <v t="s">Varies.</v>
    <v t="s"/>
    <v t="s"/>
    <v>3</v>
    <v>3</v>
    <v t="s"/>
    <v t="s"/>
    <v t="s"/>
    <v t="s">...</v>
    <v t="s">San Mateo County</v>
    <v t="s">active</v>
    <v t="s">Varies.</v>
    <v t="s"/>
    <v t="s"/>
    <v>4</v>
    <v>4</v>
    <v t="s"/>
    <v t="s"/>
    <v t="s"/>
    <v t="s">...</v>
    <v t="s">San Mateo County</v>
    <v t="s">active</v>
    <v t="s">No wait.</v>
    <v t="s"/>
    <v t="s"/>
    <v>5</v>
    <v>5</v>
    <v t="s"/>
    <v t="s"/>
    <v t="s"/>
    <v t="s">...</v>
    <v t="s">San Mateo County</v>
    <v t="s">active</v>
    <v t="s"/>
    <v t="s"/>
    <v t="s"/>
    <v t="s">...</v>
    <v t="s">...</v>
    <v t="s">...</v>
    <v t="s">...</v>
    <v t="s">...</v>
    <v t="s">...</v>
    <v t="s">...</v>
    <v t="s">...</v>
    <v t="s">...</v>
    <v t="s">...</v>
    <v t="s">...</v>
    <v>19</v>
    <v>19</v>
    <v t="s"/>
    <v t="s"/>
    <v t="s"/>
    <v t="s">...</v>
    <v t="s">Belmont, Burlingame</v>
    <v t="s">active</v>
    <v t="s">Varies.</v>
    <v t="s"/>
    <v t="s"/>
    <v>20</v>
    <v>20</v>
    <v t="s"/>
    <v t="s"/>
    <v t="s"/>
    <v t="s">...</v>
    <v t="s"/>
    <v t="s">defunct</v>
    <v t="s"/>
    <v t="s"/>
    <v t="s"/>
    <v>21</v>
    <v>21</v>
    <v t="s"/>
    <v t="s"/>
    <v t="s"/>
    <v t="s">...</v>
    <v t="s">San Mateo County</v>
    <v t="s">inactive</v>
    <v t="s"/>
    <v t="s"/>
    <v t="s"/>
    <v>22</v>
    <v>22</v>
    <v t="s"/>
    <v t="s">Cash, Check, Credit Card</v>
    <v t="s">Fotos para pasaportes</v>
    <v t="s">...</v>
    <v t="s">Alameda County, San Mateo County</v>
    <v t="s">active</v>
    <v t="s">No wait to 2 weeks.</v>
    <v t="s">http://www.example.com</v>
    <v t="s">105, 108, 108-05, 108-05-01, 111, 111-05</v>
    <v>23</v>
    <v>22</v>
    <v t="s"/>
    <v t="s"/>
    <v t="s"/>
    <v t="s">...</v>
    <v t="s">San Mateo County, Alameda County</v>
    <v t="s">active</v>
    <v t="s">No wait to 2 weeks</v>
    <v t="s">http://www.example.com</v>
    <v t="s"/>
  </a>
  <a r="6" c="11">
    <v t="s">id</v>
    <v t="s">location_id</v>
    <v t="s">program_id</v>
    <v t="s">accepted_payments</v>
    <v t="s">alternate_name</v>
    <v t="s">...</v>
    <v t="s">service_areas</v>
    <v t="s">status</v>
    <v t="s">wait_time</v>
    <v t="s">website</v>
    <v t="s">taxonomy_ids</v>
    <v>1</v>
    <v>1</v>
    <v t="s"/>
    <v t="s"/>
    <v t="s"/>
    <v t="s">...</v>
    <v t="s">Colma</v>
    <v t="s">active</v>
    <v t="s">No wait.</v>
    <v t="s"/>
    <v t="s"/>
    <v>2</v>
    <v>2</v>
    <v t="s"/>
    <v t="s"/>
    <v t="s"/>
    <v t="s">...</v>
    <v t="s">San Mateo County</v>
    <v t="s">active</v>
    <v t="s">Varies.</v>
    <v t="s"/>
    <v t="s"/>
    <v>3</v>
    <v>3</v>
    <v t="s"/>
    <v t="s"/>
    <v t="s"/>
    <v t="s">...</v>
    <v t="s">San Mateo County</v>
    <v t="s">active</v>
    <v t="s">Varies.</v>
    <v t="s"/>
    <v t="s"/>
    <v>4</v>
    <v>4</v>
    <v t="s"/>
    <v t="s"/>
    <v t="s"/>
    <v t="s">...</v>
    <v t="s">San Mateo County</v>
    <v t="s">active</v>
    <v t="s">No wait.</v>
    <v t="s"/>
    <v t="s"/>
    <v>5</v>
    <v>5</v>
    <v t="s"/>
    <v t="s"/>
    <v t="s"/>
    <v t="s">...</v>
    <v t="s">San Mateo County</v>
    <v t="s">active</v>
    <v t="s"/>
    <v t="s"/>
    <v t="s"/>
  </a>
  <a r="6" c="11">
    <v t="s">id</v>
    <v t="s">location_id</v>
    <v t="s">program_id</v>
    <v t="s">accepted_payments</v>
    <v t="s">alternate_name</v>
    <v t="s">...</v>
    <v t="s">service_areas</v>
    <v t="s">status</v>
    <v t="s">wait_time</v>
    <v t="s">website</v>
    <v t="s">taxonomy_ids</v>
    <v>19</v>
    <v>19</v>
    <v t="s"/>
    <v t="s"/>
    <v t="s"/>
    <v t="s">...</v>
    <v t="s">Belmont, Burlingame</v>
    <v t="s">active</v>
    <v t="s">Varies.</v>
    <v t="s"/>
    <v t="s"/>
    <v>20</v>
    <v>20</v>
    <v t="s"/>
    <v t="s"/>
    <v t="s"/>
    <v t="s">...</v>
    <v t="s"/>
    <v t="s">defunct</v>
    <v t="s"/>
    <v t="s"/>
    <v t="s"/>
    <v>21</v>
    <v>21</v>
    <v t="s"/>
    <v t="s"/>
    <v t="s"/>
    <v t="s">...</v>
    <v t="s">San Mateo County</v>
    <v t="s">inactive</v>
    <v t="s"/>
    <v t="s"/>
    <v t="s"/>
    <v>22</v>
    <v>22</v>
    <v t="s"/>
    <v t="s">Cash, Check, Credit Card</v>
    <v t="s">Fotos para pasaportes</v>
    <v t="s">...</v>
    <v t="s">Alameda County, San Mateo County</v>
    <v t="s">active</v>
    <v t="s">No wait to 2 weeks.</v>
    <v t="s">http://www.example.com</v>
    <v t="s">105, 108, 108-05, 108-05-01, 111, 111-05</v>
    <v>23</v>
    <v>22</v>
    <v t="s"/>
    <v t="s"/>
    <v t="s"/>
    <v t="s">...</v>
    <v t="s">San Mateo County, Alameda County</v>
    <v t="s">active</v>
    <v t="s">No wait to 2 weeks</v>
    <v t="s">http://www.example.com</v>
    <v t="s"/>
  </a>
  <a r="11">
    <v t="s">id</v>
    <v t="s">location_id</v>
    <v t="s">program_id</v>
    <v t="s">accepted_payments</v>
    <v t="s">alternate_name</v>
    <v t="s">...</v>
    <v t="s">service_areas</v>
    <v t="s">status</v>
    <v t="s">wait_time</v>
    <v t="s">website</v>
    <v t="s">taxonomy_ids</v>
  </a>
  <a r="12">
    <v t="s">status</v>
    <v t="s">active</v>
    <v t="s">active</v>
    <v t="s">active</v>
    <v t="s">active</v>
    <v t="s">active</v>
    <v t="s">...</v>
    <v t="s">active</v>
    <v t="s">defunct</v>
    <v t="s">inactive</v>
    <v t="s">active</v>
    <v t="s">active</v>
  </a>
  <a r="11">
    <v t="s">active</v>
    <v t="s">active</v>
    <v t="s">active</v>
    <v t="s">active</v>
    <v t="s">active</v>
    <v t="s">...</v>
    <v t="s">active</v>
    <v t="s">defunct</v>
    <v t="s">inactive</v>
    <v t="s">active</v>
    <v t="s">active</v>
  </a>
  <a r="12" c="3">
    <v t="s">email</v>
    <v t="s">keywords</v>
    <v t="s">name</v>
    <v t="s"/>
    <v t="s">ADULT PROTECTION AND CARE SERVICES, Meal Sites/Home-delivered Mea, COMMUNITY SERVICES, Group Support, Information and Referral, EDUCATION SERVICES, English Language, RECREATION/LEISURE SERVICES, Arts and Crafts, Sports/Games/Exercise, Brown Bag Food Programs, Congregate Meals/Nutrition Sites, Senior Centers, Older Adults</v>
    <v t="s">Fair Oaks Adult Activity Center</v>
    <v t="s"/>
    <v t="s">EMPLOYMENT/TRAINING SERVICES, Job Development, Job Information/Placement/Referral, Job Training, Job Training Formats, Job Search/Placement, Older Adults</v>
    <v t="s">Second Career Employment Program</v>
    <v t="s"/>
    <v t="s">Geriatric Counseling, Older Adults, Gay, Lesbian, Bisexual, Transgender Individuals, Mentoring Programs</v>
    <v t="s">Senior Peer Counseling</v>
    <v t="s"/>
    <v t="s">INDIVIDUAL AND FAMILY DEVELOPMENT SERVICES, Growth and Adjustment, LEGAL AND CRIMINAL JUSTICE SERVICES, Mediation, Parental Visitation Monitoring, Divorce Counseling, Youth, Abuse Prevention, Child Abuse, Domestic Violence</v>
    <v t="s">Family Visitation Center</v>
    <v t="s"/>
    <v t="s">COMMUNITY SERVICES, Speakers, Automobile Loans</v>
    <v t="s">Economic Self-Sufficiency Program</v>
    <v t="s">...</v>
    <v t="s">...</v>
    <v t="s">...</v>
    <v t="s"/>
    <v t="s">HEALTH SERVICES, Outpatient Care, Community Clinics, Medicare</v>
    <v t="s">San Mateo Free Medical Clinic</v>
    <v t="s"/>
    <v t="s"/>
    <v t="s">Service with blank fields</v>
    <v t="s"/>
    <v t="s"/>
    <v t="s">Service for Admin Test Location</v>
    <v t="s">passports@example.org</v>
    <v t="s">Salud, Medicina</v>
    <v t="s">Passport Photos</v>
    <v t="s"/>
    <v t="s">Ruby on Rails/Postgres/Redis, testing, wic</v>
    <v t="s">Example Service Name</v>
  </a>
  <a r="11" c="2">
    <v t="s">id</v>
    <v t="s">&lt;class 'numpy.dtypes.Int64DType'&gt;</v>
    <v t="s">location_id</v>
    <v t="s">&lt;class 'numpy.dtypes.Int64DType'&gt;</v>
    <v t="s">program_id</v>
    <v t="s">&lt;class 'numpy.dtypes.ObjectDType'&gt;</v>
    <v t="s">accepted_payments</v>
    <v t="s">&lt;class 'numpy.dtypes.ObjectDType'&gt;</v>
    <v t="s">alternate_name</v>
    <v t="s">&lt;class 'numpy.dtypes.ObjectDType'&gt;</v>
    <v t="s">...</v>
    <v t="s">...</v>
    <v t="s">service_areas</v>
    <v t="s">&lt;class 'numpy.dtypes.ObjectDType'&gt;</v>
    <v t="s">status</v>
    <v t="s">&lt;class 'numpy.dtypes.ObjectDType'&gt;</v>
    <v t="s">wait_time</v>
    <v t="s">&lt;class 'numpy.dtypes.ObjectDType'&gt;</v>
    <v t="s">website</v>
    <v t="s">&lt;class 'numpy.dtypes.ObjectDType'&gt;</v>
    <v t="s">taxonomy_ids</v>
    <v t="s">&lt;class 'numpy.dtypes.ObjectDType'&gt;</v>
  </a>
  <a r="12" c="11">
    <v t="s">PassengerId</v>
    <v t="s">Survived</v>
    <v t="s">Pclass</v>
    <v t="s">Name</v>
    <v t="s">Sex</v>
    <v t="s">...</v>
    <v t="s">Parch</v>
    <v t="s">Ticket</v>
    <v t="s">Fare</v>
    <v t="s">Cabin</v>
    <v t="s">Embarked</v>
    <v>1</v>
    <v>0</v>
    <v>3</v>
    <v t="s">Braund, Mr. Owen Harris</v>
    <v t="s">male</v>
    <v t="s">...</v>
    <v>0</v>
    <v t="s">A/5 21171</v>
    <v>7.25</v>
    <v t="s"/>
    <v t="s">S</v>
    <v>2</v>
    <v>1</v>
    <v>1</v>
    <v t="s">Cumings, Mrs. John Bradley (Florence Briggs Thayer)</v>
    <v t="s">female</v>
    <v t="s">...</v>
    <v>0</v>
    <v t="s">PC 17599</v>
    <v>71.283299999999997</v>
    <v t="s">C85</v>
    <v t="s">C</v>
    <v>3</v>
    <v>1</v>
    <v>3</v>
    <v t="s">Heikkinen, Miss. Laina</v>
    <v t="s">female</v>
    <v t="s">...</v>
    <v>0</v>
    <v t="s">STON/O2. 3101282</v>
    <v>7.9249999999999998</v>
    <v t="s"/>
    <v t="s">S</v>
    <v>4</v>
    <v>1</v>
    <v>1</v>
    <v t="s">Futrelle, Mrs. Jacques Heath (Lily May Peel)</v>
    <v t="s">female</v>
    <v t="s">...</v>
    <v>0</v>
    <v t="s">113803</v>
    <v>53.1</v>
    <v t="s">C123</v>
    <v t="s">S</v>
    <v>5</v>
    <v>0</v>
    <v>3</v>
    <v t="s">Allen, Mr. William Henry</v>
    <v t="s">male</v>
    <v t="s">...</v>
    <v>0</v>
    <v t="s">373450</v>
    <v>8.0500000000000007</v>
    <v t="s"/>
    <v t="s">S</v>
    <v t="s">...</v>
    <v t="s">...</v>
    <v t="s">...</v>
    <v t="s">...</v>
    <v t="s">...</v>
    <v t="s">...</v>
    <v t="s">...</v>
    <v t="s">...</v>
    <v t="s">...</v>
    <v t="s">...</v>
    <v t="s">...</v>
    <v>887</v>
    <v>0</v>
    <v>2</v>
    <v t="s">Montvila, Rev. Juozas</v>
    <v t="s">male</v>
    <v t="s">...</v>
    <v>0</v>
    <v t="s">211536</v>
    <v>13</v>
    <v t="s"/>
    <v t="s">S</v>
    <v>888</v>
    <v>1</v>
    <v>1</v>
    <v t="s">Graham, Miss. Margaret Edith</v>
    <v t="s">female</v>
    <v t="s">...</v>
    <v>0</v>
    <v t="s">112053</v>
    <v>30</v>
    <v t="s">B42</v>
    <v t="s">S</v>
    <v>889</v>
    <v>0</v>
    <v>3</v>
    <v t="s">Johnston, Miss. Catherine Helen "Carrie"</v>
    <v t="s">female</v>
    <v t="s">...</v>
    <v>2</v>
    <v t="s">W./C. 6607</v>
    <v>23.45</v>
    <v t="s"/>
    <v t="s">S</v>
    <v>890</v>
    <v>1</v>
    <v>1</v>
    <v t="s">Behr, Mr. Karl Howell</v>
    <v t="s">male</v>
    <v t="s">...</v>
    <v>0</v>
    <v t="s">111369</v>
    <v>30</v>
    <v t="s">C148</v>
    <v t="s">C</v>
    <v>891</v>
    <v>0</v>
    <v>3</v>
    <v t="s">Dooley, Mr. Patrick</v>
    <v t="s">male</v>
    <v t="s">...</v>
    <v>0</v>
    <v t="s">370376</v>
    <v>7.75</v>
    <v t="s"/>
    <v t="s">Q</v>
  </a>
  <a r="6" c="11">
    <v t="s">PassengerId</v>
    <v t="s">Survived</v>
    <v t="s">Pclass</v>
    <v t="s">Name</v>
    <v t="s">Sex</v>
    <v t="s">...</v>
    <v t="s">Parch</v>
    <v t="s">Ticket</v>
    <v t="s">Fare</v>
    <v t="s">Cabin</v>
    <v t="s">Embarked</v>
    <v>1</v>
    <v>0</v>
    <v>3</v>
    <v t="s">Braund, Mr. Owen Harris</v>
    <v t="s">male</v>
    <v t="s">...</v>
    <v>0</v>
    <v t="s">A/5 21171</v>
    <v>7.25</v>
    <v t="s"/>
    <v t="s">S</v>
    <v>2</v>
    <v>1</v>
    <v>1</v>
    <v t="s">Cumings, Mrs. John Bradley (Florence Briggs Thayer)</v>
    <v t="s">female</v>
    <v t="s">...</v>
    <v>0</v>
    <v t="s">PC 17599</v>
    <v>71.283299999999997</v>
    <v t="s">C85</v>
    <v t="s">C</v>
    <v>3</v>
    <v>1</v>
    <v>3</v>
    <v t="s">Heikkinen, Miss. Laina</v>
    <v t="s">female</v>
    <v t="s">...</v>
    <v>0</v>
    <v t="s">STON/O2. 3101282</v>
    <v>7.9249999999999998</v>
    <v t="s"/>
    <v t="s">S</v>
    <v>4</v>
    <v>1</v>
    <v>1</v>
    <v t="s">Futrelle, Mrs. Jacques Heath (Lily May Peel)</v>
    <v t="s">female</v>
    <v t="s">...</v>
    <v>0</v>
    <v t="s">113803</v>
    <v>53.1</v>
    <v t="s">C123</v>
    <v t="s">S</v>
    <v>5</v>
    <v>0</v>
    <v>3</v>
    <v t="s">Allen, Mr. William Henry</v>
    <v t="s">male</v>
    <v t="s">...</v>
    <v>0</v>
    <v t="s">373450</v>
    <v>8.0500000000000007</v>
    <v t="s"/>
    <v t="s">S</v>
  </a>
  <a r="12">
    <v t="s">Survived</v>
    <v>0</v>
    <v>1</v>
    <v>1</v>
    <v>1</v>
    <v>0</v>
    <v t="s">...</v>
    <v>0</v>
    <v>1</v>
    <v>0</v>
    <v>1</v>
    <v>0</v>
  </a>
  <a r="12" c="3">
    <v t="s">Survived</v>
    <v t="s">Pclass</v>
    <v t="s">Name</v>
    <v>0</v>
    <v>3</v>
    <v t="s">Braund, Mr. Owen Harris</v>
    <v>1</v>
    <v>1</v>
    <v t="s">Cumings, Mrs. John Bradley (Florence Briggs Thayer)</v>
    <v>1</v>
    <v>3</v>
    <v t="s">Heikkinen, Miss. Laina</v>
    <v>1</v>
    <v>1</v>
    <v t="s">Futrelle, Mrs. Jacques Heath (Lily May Peel)</v>
    <v>0</v>
    <v>3</v>
    <v t="s">Allen, Mr. William Henry</v>
    <v t="s">...</v>
    <v t="s">...</v>
    <v t="s">...</v>
    <v>0</v>
    <v>2</v>
    <v t="s">Montvila, Rev. Juozas</v>
    <v>1</v>
    <v>1</v>
    <v t="s">Graham, Miss. Margaret Edith</v>
    <v>0</v>
    <v>3</v>
    <v t="s">Johnston, Miss. Catherine Helen "Carrie"</v>
    <v>1</v>
    <v>1</v>
    <v t="s">Behr, Mr. Karl Howell</v>
    <v>0</v>
    <v>3</v>
    <v t="s">Dooley, Mr. Patrick</v>
  </a>
  <a r="12" c="11">
    <v t="s">Rk</v>
    <v t="s">Player</v>
    <v t="s">Pos</v>
    <v t="s">Age</v>
    <v t="s">Tm</v>
    <v t="s">...</v>
    <v t="s">STL</v>
    <v t="s">BLK</v>
    <v t="s">TOV</v>
    <v t="s">PF</v>
    <v t="s">PTS</v>
    <v>1</v>
    <v t="s">Quincy Acy</v>
    <v t="s">PF</v>
    <v>24</v>
    <v t="s">NYK</v>
    <v t="s">...</v>
    <v>27</v>
    <v>22</v>
    <v>60</v>
    <v>147</v>
    <v>398</v>
    <v>2</v>
    <v t="s">Jordan Adams</v>
    <v t="s">SG</v>
    <v>20</v>
    <v t="s">MEM</v>
    <v t="s">...</v>
    <v>16</v>
    <v>7</v>
    <v>14</v>
    <v>24</v>
    <v>94</v>
    <v>3</v>
    <v t="s">Steven Adams</v>
    <v t="s">C</v>
    <v>21</v>
    <v t="s">OKC</v>
    <v t="s">...</v>
    <v>38</v>
    <v>86</v>
    <v>99</v>
    <v>222</v>
    <v>537</v>
    <v>4</v>
    <v t="s">Jeff Adrien</v>
    <v t="s">PF</v>
    <v>28</v>
    <v t="s">MIN</v>
    <v t="s">...</v>
    <v>4</v>
    <v>9</v>
    <v>9</v>
    <v>30</v>
    <v>60</v>
    <v>5</v>
    <v t="s">Arron Afflalo</v>
    <v t="s">SG</v>
    <v>29</v>
    <v t="s">TOT</v>
    <v t="s">...</v>
    <v>41</v>
    <v>7</v>
    <v>116</v>
    <v>167</v>
    <v>1035</v>
    <v t="s">...</v>
    <v t="s">...</v>
    <v t="s">...</v>
    <v t="s">...</v>
    <v t="s">...</v>
    <v t="s">...</v>
    <v t="s">...</v>
    <v t="s">...</v>
    <v t="s">...</v>
    <v t="s">...</v>
    <v t="s">...</v>
    <v>490</v>
    <v t="s">Thaddeus Young</v>
    <v t="s">PF</v>
    <v>26</v>
    <v t="s">TOT</v>
    <v t="s">...</v>
    <v>124</v>
    <v>25</v>
    <v>117</v>
    <v>171</v>
    <v>1071</v>
    <v>490</v>
    <v t="s">Thaddeus Young</v>
    <v t="s">PF</v>
    <v>26</v>
    <v t="s">MIN</v>
    <v t="s">...</v>
    <v>86</v>
    <v>17</v>
    <v>75</v>
    <v>115</v>
    <v>685</v>
    <v>490</v>
    <v t="s">Thaddeus Young</v>
    <v t="s">PF</v>
    <v>26</v>
    <v t="s">BRK</v>
    <v t="s">...</v>
    <v>38</v>
    <v>8</v>
    <v>42</v>
    <v>56</v>
    <v>386</v>
    <v>491</v>
    <v t="s">Cody Zeller</v>
    <v t="s">C</v>
    <v>22</v>
    <v t="s">CHO</v>
    <v t="s">...</v>
    <v>34</v>
    <v>49</v>
    <v>62</v>
    <v>156</v>
    <v>472</v>
    <v>492</v>
    <v t="s">Tyler Zeller</v>
    <v t="s">C</v>
    <v>25</v>
    <v t="s">BOS</v>
    <v t="s">...</v>
    <v>18</v>
    <v>52</v>
    <v>76</v>
    <v>205</v>
    <v>833</v>
  </a>
  <a r="6" c="11">
    <v t="s">Rk</v>
    <v t="s">Player</v>
    <v t="s">Pos</v>
    <v t="s">Age</v>
    <v t="s">Tm</v>
    <v t="s">...</v>
    <v t="s">STL</v>
    <v t="s">BLK</v>
    <v t="s">TOV</v>
    <v t="s">PF</v>
    <v t="s">PTS</v>
    <v>1</v>
    <v t="s">Quincy Acy</v>
    <v t="s">PF</v>
    <v>24</v>
    <v t="s">NYK</v>
    <v t="s">...</v>
    <v>27</v>
    <v>22</v>
    <v>60</v>
    <v>147</v>
    <v>398</v>
    <v>2</v>
    <v t="s">Jordan Adams</v>
    <v t="s">SG</v>
    <v>20</v>
    <v t="s">MEM</v>
    <v t="s">...</v>
    <v>16</v>
    <v>7</v>
    <v>14</v>
    <v>24</v>
    <v>94</v>
    <v>3</v>
    <v t="s">Steven Adams</v>
    <v t="s">C</v>
    <v>21</v>
    <v t="s">OKC</v>
    <v t="s">...</v>
    <v>38</v>
    <v>86</v>
    <v>99</v>
    <v>222</v>
    <v>537</v>
    <v>4</v>
    <v t="s">Jeff Adrien</v>
    <v t="s">PF</v>
    <v>28</v>
    <v t="s">MIN</v>
    <v t="s">...</v>
    <v>4</v>
    <v>9</v>
    <v>9</v>
    <v>30</v>
    <v>60</v>
    <v>5</v>
    <v t="s">Arron Afflalo</v>
    <v t="s">SG</v>
    <v>29</v>
    <v t="s">TOT</v>
    <v t="s">...</v>
    <v>41</v>
    <v>7</v>
    <v>116</v>
    <v>167</v>
    <v>1035</v>
  </a>
  <a r="6" c="11">
    <v t="s">Rk</v>
    <v t="s">Player</v>
    <v t="s">Pos</v>
    <v t="s">Age</v>
    <v t="s">Tm</v>
    <v t="s">...</v>
    <v t="s">STL</v>
    <v t="s">BLK</v>
    <v t="s">TOV</v>
    <v t="s">PF</v>
    <v t="s">PTS</v>
    <v>490</v>
    <v t="s">Thaddeus Young</v>
    <v t="s">PF</v>
    <v>26</v>
    <v t="s">TOT</v>
    <v t="s">...</v>
    <v>124</v>
    <v>25</v>
    <v>117</v>
    <v>171</v>
    <v>1071</v>
    <v>490</v>
    <v t="s">Thaddeus Young</v>
    <v t="s">PF</v>
    <v>26</v>
    <v t="s">MIN</v>
    <v t="s">...</v>
    <v>86</v>
    <v>17</v>
    <v>75</v>
    <v>115</v>
    <v>685</v>
    <v>490</v>
    <v t="s">Thaddeus Young</v>
    <v t="s">PF</v>
    <v>26</v>
    <v t="s">BRK</v>
    <v t="s">...</v>
    <v>38</v>
    <v>8</v>
    <v>42</v>
    <v>56</v>
    <v>386</v>
    <v>491</v>
    <v t="s">Cody Zeller</v>
    <v t="s">C</v>
    <v>22</v>
    <v t="s">CHO</v>
    <v t="s">...</v>
    <v>34</v>
    <v>49</v>
    <v>62</v>
    <v>156</v>
    <v>472</v>
    <v>492</v>
    <v t="s">Tyler Zeller</v>
    <v t="s">C</v>
    <v>25</v>
    <v t="s">BOS</v>
    <v t="s">...</v>
    <v>18</v>
    <v>52</v>
    <v>76</v>
    <v>205</v>
    <v>833</v>
  </a>
  <a r="11" c="2">
    <v t="s">Rk</v>
    <v t="s">&lt;class 'numpy.dtypes.ObjectDType'&gt;</v>
    <v t="s">Player</v>
    <v t="s">&lt;class 'numpy.dtypes.ObjectDType'&gt;</v>
    <v t="s">Pos</v>
    <v t="s">&lt;class 'numpy.dtypes.ObjectDType'&gt;</v>
    <v t="s">Age</v>
    <v t="s">&lt;class 'numpy.dtypes.ObjectDType'&gt;</v>
    <v t="s">Tm</v>
    <v t="s">&lt;class 'numpy.dtypes.ObjectDType'&gt;</v>
    <v t="s">...</v>
    <v t="s">...</v>
    <v t="s">STL</v>
    <v t="s">&lt;class 'numpy.dtypes.ObjectDType'&gt;</v>
    <v t="s">BLK</v>
    <v t="s">&lt;class 'numpy.dtypes.ObjectDType'&gt;</v>
    <v t="s">TOV</v>
    <v t="s">&lt;class 'numpy.dtypes.ObjectDType'&gt;</v>
    <v t="s">PF</v>
    <v t="s">&lt;class 'numpy.dtypes.ObjectDType'&gt;</v>
    <v t="s">PTS</v>
    <v t="s">&lt;class 'numpy.dtypes.ObjectDType'&gt;</v>
  </a>
  <a r="12" c="3">
    <v t="s">Pos</v>
    <v t="s">Age</v>
    <v t="s">Tm</v>
    <v t="s">PF</v>
    <v>24</v>
    <v t="s">NYK</v>
    <v t="s">SG</v>
    <v>20</v>
    <v t="s">MEM</v>
    <v t="s">C</v>
    <v>21</v>
    <v t="s">OKC</v>
    <v t="s">PF</v>
    <v>28</v>
    <v t="s">MIN</v>
    <v t="s">SG</v>
    <v>29</v>
    <v t="s">TOT</v>
    <v t="s">...</v>
    <v t="s">...</v>
    <v t="s">...</v>
    <v t="s">PF</v>
    <v>26</v>
    <v t="s">TOT</v>
    <v t="s">PF</v>
    <v>26</v>
    <v t="s">MIN</v>
    <v t="s">PF</v>
    <v>26</v>
    <v t="s">BRK</v>
    <v t="s">C</v>
    <v>22</v>
    <v t="s">CHO</v>
    <v t="s">C</v>
    <v>25</v>
    <v t="s">BOS</v>
  </a>
  <a r="11" c="2">
    <v t="s">PassengerId</v>
    <v t="s">&lt;class 'numpy.dtypes.Int64DType'&gt;</v>
    <v t="s">Survived</v>
    <v t="s">&lt;class 'numpy.dtypes.Int64DType'&gt;</v>
    <v t="s">Pclass</v>
    <v t="s">&lt;class 'numpy.dtypes.Int64DType'&gt;</v>
    <v t="s">Name</v>
    <v t="s">&lt;class 'numpy.dtypes.ObjectDType'&gt;</v>
    <v t="s">Sex</v>
    <v t="s">&lt;class 'numpy.dtypes.ObjectDType'&gt;</v>
    <v t="s">...</v>
    <v t="s">...</v>
    <v t="s">Parch</v>
    <v t="s">&lt;class 'numpy.dtypes.Int64DType'&gt;</v>
    <v t="s">Ticket</v>
    <v t="s">&lt;class 'numpy.dtypes.ObjectDType'&gt;</v>
    <v t="s">Fare</v>
    <v t="s">&lt;class 'numpy.dtypes.Float64DType'&gt;</v>
    <v t="s">Cabin</v>
    <v t="s">&lt;class 'numpy.dtypes.ObjectDType'&gt;</v>
    <v t="s">Embarked</v>
    <v t="s">&lt;class 'numpy.dtypes.ObjectDType'&gt;</v>
  </a>
  <a r="9" c="8">
    <v t="s"/>
    <v t="s">PassengerId</v>
    <v t="s">Survived</v>
    <v t="s">Pclass</v>
    <v t="s">Age</v>
    <v t="s">SibSp</v>
    <v t="s">Parch</v>
    <v t="s">Fare</v>
    <v t="s">count</v>
    <v>891</v>
    <v>891</v>
    <v>891</v>
    <v>714</v>
    <v>891</v>
    <v>891</v>
    <v>891</v>
    <v t="s">mean</v>
    <v>446</v>
    <v>0.38383838383838381</v>
    <v>2.308641975308642</v>
    <v>29.69911764705882</v>
    <v>0.52300785634118963</v>
    <v>0.38159371492704824</v>
    <v>32.204207968574636</v>
    <v t="s">std</v>
    <v>257.3538420152301</v>
    <v>0.48659245426485848</v>
    <v>0.83607124097705132</v>
    <v>14.526497332334044</v>
    <v>1.1027434322934275</v>
    <v>0.80605722112995593</v>
    <v>49.693428597180905</v>
    <v t="s">min</v>
    <v>1</v>
    <v>0</v>
    <v>1</v>
    <v>0.42</v>
    <v>0</v>
    <v>0</v>
    <v>0</v>
    <v t="s">25%</v>
    <v>223.5</v>
    <v>0</v>
    <v>2</v>
    <v>20.125</v>
    <v>0</v>
    <v>0</v>
    <v>7.9104000000000001</v>
    <v t="s">50%</v>
    <v>446</v>
    <v>0</v>
    <v>3</v>
    <v>28</v>
    <v>0</v>
    <v>0</v>
    <v>14.4542</v>
    <v t="s">75%</v>
    <v>668.5</v>
    <v>1</v>
    <v>3</v>
    <v>38</v>
    <v>1</v>
    <v>0</v>
    <v>31</v>
    <v t="s">max</v>
    <v>891</v>
    <v>1</v>
    <v>3</v>
    <v>80</v>
    <v>8</v>
    <v>6</v>
    <v>512.32920000000001</v>
  </a>
  <a r="12" c="5">
    <v t="s">Name</v>
    <v t="s">Sex</v>
    <v t="s">Ticket</v>
    <v t="s">Cabin</v>
    <v t="s">Embarked</v>
    <v t="s">Braund, Mr. Owen Harris</v>
    <v t="s">male</v>
    <v t="s">A/5 21171</v>
    <v t="s"/>
    <v t="s">S</v>
    <v t="s">Cumings, Mrs. John Bradley (Florence Briggs Thayer)</v>
    <v t="s">female</v>
    <v t="s">PC 17599</v>
    <v t="s">C85</v>
    <v t="s">C</v>
    <v t="s">Heikkinen, Miss. Laina</v>
    <v t="s">female</v>
    <v t="s">STON/O2. 3101282</v>
    <v t="s"/>
    <v t="s">S</v>
    <v t="s">Futrelle, Mrs. Jacques Heath (Lily May Peel)</v>
    <v t="s">female</v>
    <v t="s">113803</v>
    <v t="s">C123</v>
    <v t="s">S</v>
    <v t="s">Allen, Mr. William Henry</v>
    <v t="s">male</v>
    <v t="s">373450</v>
    <v t="s"/>
    <v t="s">S</v>
    <v t="s">...</v>
    <v t="s">...</v>
    <v t="s">...</v>
    <v t="s">...</v>
    <v t="s">...</v>
    <v t="s">Montvila, Rev. Juozas</v>
    <v t="s">male</v>
    <v t="s">211536</v>
    <v t="s"/>
    <v t="s">S</v>
    <v t="s">Graham, Miss. Margaret Edith</v>
    <v t="s">female</v>
    <v t="s">112053</v>
    <v t="s">B42</v>
    <v t="s">S</v>
    <v t="s">Johnston, Miss. Catherine Helen "Carrie"</v>
    <v t="s">female</v>
    <v t="s">W./C. 6607</v>
    <v t="s"/>
    <v t="s">S</v>
    <v t="s">Behr, Mr. Karl Howell</v>
    <v t="s">male</v>
    <v t="s">111369</v>
    <v t="s">C148</v>
    <v t="s">C</v>
    <v t="s">Dooley, Mr. Patrick</v>
    <v t="s">male</v>
    <v t="s">370376</v>
    <v t="s"/>
    <v t="s">Q</v>
  </a>
  <a r="11" c="2">
    <v t="s">PassengerId</v>
    <v t="b">0</v>
    <v t="s">Survived</v>
    <v t="b">0</v>
    <v t="s">Pclass</v>
    <v t="b">0</v>
    <v t="s">Name</v>
    <v t="b">1</v>
    <v t="s">Sex</v>
    <v t="b">1</v>
    <v t="s">...</v>
    <v t="s">...</v>
    <v t="s">Parch</v>
    <v t="b">0</v>
    <v t="s">Ticket</v>
    <v t="b">1</v>
    <v t="s">Fare</v>
    <v t="b">0</v>
    <v t="s">Cabin</v>
    <v t="b">1</v>
    <v t="s">Embarked</v>
    <v t="b">1</v>
  </a>
  <a r="5" c="6">
    <v t="s"/>
    <v t="s">Name</v>
    <v t="s">Sex</v>
    <v t="s">Ticket</v>
    <v t="s">Cabin</v>
    <v t="s">Embarked</v>
    <v t="s">count</v>
    <v>891</v>
    <v>891</v>
    <v>891</v>
    <v>891</v>
    <v>891</v>
    <v t="s">unique</v>
    <v>891</v>
    <v>2</v>
    <v>681</v>
    <v>148</v>
    <v>4</v>
    <v t="s">top</v>
    <v t="s">Braund, Mr. Owen Harris</v>
    <v t="s">male</v>
    <v t="s">347082</v>
    <v t="s"/>
    <v t="s">S</v>
    <v t="s">freq</v>
    <v>1</v>
    <v>577</v>
    <v>7</v>
    <v>687</v>
    <v>644</v>
  </a>
  <a r="12" c="2">
    <v t="s">Age</v>
    <v t="s">Fare</v>
    <v>22</v>
    <v>7.25</v>
    <v>38</v>
    <v>71.283299999999997</v>
    <v>26</v>
    <v>7.9249999999999998</v>
    <v>35</v>
    <v>53.1</v>
    <v>35</v>
    <v>8.0500000000000007</v>
    <v t="s">...</v>
    <v t="s">...</v>
    <v>27</v>
    <v>13</v>
    <v>19</v>
    <v>30</v>
    <v t="e">#NUM!</v>
    <v>23.45</v>
    <v>26</v>
    <v>30</v>
    <v>32</v>
    <v>7.75</v>
  </a>
  <a r="12" c="5">
    <v t="s">PassengerId</v>
    <v t="s">Survived</v>
    <v t="s">Pclass</v>
    <v t="s">SibSp</v>
    <v t="s">Parch</v>
    <v>1</v>
    <v>0</v>
    <v>3</v>
    <v>1</v>
    <v>0</v>
    <v>2</v>
    <v>1</v>
    <v>1</v>
    <v>1</v>
    <v>0</v>
    <v>3</v>
    <v>1</v>
    <v>3</v>
    <v>0</v>
    <v>0</v>
    <v>4</v>
    <v>1</v>
    <v>1</v>
    <v>1</v>
    <v>0</v>
    <v>5</v>
    <v>0</v>
    <v>3</v>
    <v>0</v>
    <v>0</v>
    <v t="s">...</v>
    <v t="s">...</v>
    <v t="s">...</v>
    <v t="s">...</v>
    <v t="s">...</v>
    <v>887</v>
    <v>0</v>
    <v>2</v>
    <v>0</v>
    <v>0</v>
    <v>888</v>
    <v>1</v>
    <v>1</v>
    <v>0</v>
    <v>0</v>
    <v>889</v>
    <v>0</v>
    <v>3</v>
    <v>1</v>
    <v>2</v>
    <v>890</v>
    <v>1</v>
    <v>1</v>
    <v>0</v>
    <v>0</v>
    <v>891</v>
    <v>0</v>
    <v>3</v>
    <v>0</v>
    <v>0</v>
  </a>
  <a r="5" c="2">
    <v t="s">Ticket</v>
    <v t="s">Cabin</v>
    <v t="s">373450</v>
    <v t="s"/>
    <v t="s">17463</v>
    <v t="s">E46</v>
    <v t="s">347742</v>
    <v t="s"/>
    <v t="s">PP 9549</v>
    <v t="s">G6</v>
  </a>
  <a r="12" c="11">
    <v t="s">PassengerId</v>
    <v t="s">Survived</v>
    <v t="s">Pclass</v>
    <v t="s">Name</v>
    <v t="s">Sex</v>
    <v t="s">...</v>
    <v t="s">Ticket</v>
    <v t="s">Fare</v>
    <v t="s">Cabin</v>
    <v t="s">Embarked</v>
    <v t="s">new_col1</v>
    <v>1</v>
    <v>0</v>
    <v>3</v>
    <v t="s">Braund, Mr. Owen Harris</v>
    <v t="s">male</v>
    <v t="s">...</v>
    <v t="s">A/5 21171</v>
    <v>7.25</v>
    <v t="s"/>
    <v t="s">S</v>
    <v>4</v>
    <v>2</v>
    <v>1</v>
    <v>1</v>
    <v t="s">Cumings, Mrs. John Bradley (Florence Briggs Thayer)</v>
    <v t="s">female</v>
    <v t="s">...</v>
    <v t="s">PC 17599</v>
    <v>71.283299999999997</v>
    <v t="s">C85</v>
    <v t="s">C</v>
    <v>3</v>
    <v>3</v>
    <v>1</v>
    <v>3</v>
    <v t="s">Heikkinen, Miss. Laina</v>
    <v t="s">female</v>
    <v t="s">...</v>
    <v t="s">STON/O2. 3101282</v>
    <v>7.9249999999999998</v>
    <v t="s"/>
    <v t="s">S</v>
    <v>6</v>
    <v>4</v>
    <v>1</v>
    <v>1</v>
    <v t="s">Futrelle, Mrs. Jacques Heath (Lily May Peel)</v>
    <v t="s">female</v>
    <v t="s">...</v>
    <v t="s">113803</v>
    <v>53.1</v>
    <v t="s">C123</v>
    <v t="s">S</v>
    <v>5</v>
    <v>5</v>
    <v>0</v>
    <v>3</v>
    <v t="s">Allen, Mr. William Henry</v>
    <v t="s">male</v>
    <v t="s">...</v>
    <v t="s">373450</v>
    <v>8.0500000000000007</v>
    <v t="s"/>
    <v t="s">S</v>
    <v>8</v>
    <v t="s">...</v>
    <v t="s">...</v>
    <v t="s">...</v>
    <v t="s">...</v>
    <v t="s">...</v>
    <v t="s">...</v>
    <v t="s">...</v>
    <v t="s">...</v>
    <v t="s">...</v>
    <v t="s">...</v>
    <v t="s">...</v>
    <v>887</v>
    <v>0</v>
    <v>2</v>
    <v t="s">Montvila, Rev. Juozas</v>
    <v t="s">male</v>
    <v t="s">...</v>
    <v t="s">211536</v>
    <v>13</v>
    <v t="s"/>
    <v t="s">S</v>
    <v>889</v>
    <v>888</v>
    <v>1</v>
    <v>1</v>
    <v t="s">Graham, Miss. Margaret Edith</v>
    <v t="s">female</v>
    <v t="s">...</v>
    <v t="s">112053</v>
    <v>30</v>
    <v t="s">B42</v>
    <v t="s">S</v>
    <v>889</v>
    <v>889</v>
    <v>0</v>
    <v>3</v>
    <v t="s">Johnston, Miss. Catherine Helen "Carrie"</v>
    <v t="s">female</v>
    <v t="s">...</v>
    <v t="s">W./C. 6607</v>
    <v>23.45</v>
    <v t="s"/>
    <v t="s">S</v>
    <v>892</v>
    <v>890</v>
    <v>1</v>
    <v>1</v>
    <v t="s">Behr, Mr. Karl Howell</v>
    <v t="s">male</v>
    <v t="s">...</v>
    <v t="s">111369</v>
    <v>30</v>
    <v t="s">C148</v>
    <v t="s">C</v>
    <v>891</v>
    <v>891</v>
    <v>0</v>
    <v>3</v>
    <v t="s">Dooley, Mr. Patrick</v>
    <v t="s">male</v>
    <v t="s">...</v>
    <v t="s">370376</v>
    <v>7.75</v>
    <v t="s"/>
    <v t="s">Q</v>
    <v>894</v>
  </a>
  <a r="11">
    <v t="s"/>
    <v t="s">C85</v>
    <v t="s">C123</v>
    <v t="s">E46</v>
    <v t="s">G6</v>
    <v t="s">...</v>
    <v t="s">E17</v>
    <v t="s">A24</v>
    <v t="s">C50</v>
    <v t="s">B42</v>
    <v t="s">C148</v>
  </a>
  <a r="12" c="11">
    <v t="s">PassengerId</v>
    <v t="s">Survived</v>
    <v t="s">Pclass</v>
    <v t="s">Name</v>
    <v t="s">Sex</v>
    <v t="s">...</v>
    <v t="s">Ticket</v>
    <v t="s">Fare</v>
    <v t="s">Cabin</v>
    <v t="s">Embarked</v>
    <v t="s">new_col1</v>
    <v>1</v>
    <v>0</v>
    <v>3</v>
    <v t="s">Braund, Mr. Owen Harris</v>
    <v t="s">male</v>
    <v t="s">...</v>
    <v t="s">A/5 21171</v>
    <v>7.25</v>
    <v t="s"/>
    <v t="s">S</v>
    <v>4</v>
    <v>2</v>
    <v>1</v>
    <v>1</v>
    <v t="s">Cumings, Mrs. John Bradley (Florence Briggs Thayer)</v>
    <v t="s">female</v>
    <v t="s">...</v>
    <v t="s">PC 17599</v>
    <v>71.283299999999997</v>
    <v t="s">C85</v>
    <v t="s">C</v>
    <v>3</v>
    <v>3</v>
    <v>1</v>
    <v>3</v>
    <v t="s">Heikkinen, Miss. Laina</v>
    <v t="s">female</v>
    <v t="s">...</v>
    <v t="s">STON/O2. 3101282</v>
    <v>7.9249999999999998</v>
    <v t="s"/>
    <v t="s">S</v>
    <v>6</v>
    <v>4</v>
    <v>1</v>
    <v>1</v>
    <v t="s">Futrelle, Mrs. Jacques Heath (Lily May Peel)</v>
    <v t="s">female</v>
    <v t="s">...</v>
    <v t="s">113803</v>
    <v>53.1</v>
    <v t="s">C123</v>
    <v t="s">S</v>
    <v>5</v>
    <v>5</v>
    <v>0</v>
    <v>3</v>
    <v t="s">Allen, Mr. William Henry</v>
    <v t="s">male</v>
    <v t="s">...</v>
    <v t="s">373450</v>
    <v>8.0500000000000007</v>
    <v t="s"/>
    <v t="s">S</v>
    <v>8</v>
    <v t="s">...</v>
    <v t="s">...</v>
    <v t="s">...</v>
    <v t="s">...</v>
    <v t="s">...</v>
    <v t="s">...</v>
    <v t="s">...</v>
    <v t="s">...</v>
    <v t="s">...</v>
    <v t="s">...</v>
    <v t="s">...</v>
    <v>886</v>
    <v>0</v>
    <v>3</v>
    <v t="s">Rice, Mrs. William (Margaret Norton)</v>
    <v t="s">female</v>
    <v t="s">...</v>
    <v t="s">382652</v>
    <v>29.125</v>
    <v t="s"/>
    <v t="s">Q</v>
    <v>889</v>
    <v>887</v>
    <v>0</v>
    <v>2</v>
    <v t="s">Montvila, Rev. Juozas</v>
    <v t="s">male</v>
    <v t="s">...</v>
    <v t="s">211536</v>
    <v>13</v>
    <v t="s"/>
    <v t="s">S</v>
    <v>889</v>
    <v>888</v>
    <v>1</v>
    <v>1</v>
    <v t="s">Graham, Miss. Margaret Edith</v>
    <v t="s">female</v>
    <v t="s">...</v>
    <v t="s">112053</v>
    <v>30</v>
    <v t="s">B42</v>
    <v t="s">S</v>
    <v>889</v>
    <v>890</v>
    <v>1</v>
    <v>1</v>
    <v t="s">Behr, Mr. Karl Howell</v>
    <v t="s">male</v>
    <v t="s">...</v>
    <v t="s">111369</v>
    <v>30</v>
    <v t="s">C148</v>
    <v t="s">C</v>
    <v>891</v>
    <v>891</v>
    <v>0</v>
    <v>3</v>
    <v t="s">Dooley, Mr. Patrick</v>
    <v t="s">male</v>
    <v t="s">...</v>
    <v t="s">370376</v>
    <v>7.75</v>
    <v t="s"/>
    <v t="s">Q</v>
    <v>894</v>
  </a>
  <a r="12" c="11">
    <v t="s">PassengerId</v>
    <v t="s">Survived</v>
    <v t="s">Pclass</v>
    <v t="s">Name</v>
    <v t="s">Sex</v>
    <v t="s">...</v>
    <v t="s">Ticket</v>
    <v t="s">Fare</v>
    <v t="s">Cabin</v>
    <v t="s">Embarked</v>
    <v t="s">new_col1</v>
    <v>2</v>
    <v>1</v>
    <v>1</v>
    <v t="s">Cumings, Mrs. John Bradley (Florence Briggs Thayer)</v>
    <v t="s">female</v>
    <v t="s">...</v>
    <v t="s">PC 17599</v>
    <v>71.283299999999997</v>
    <v t="s">C85</v>
    <v t="s">C</v>
    <v>3</v>
    <v>4</v>
    <v>1</v>
    <v>1</v>
    <v t="s">Futrelle, Mrs. Jacques Heath (Lily May Peel)</v>
    <v t="s">female</v>
    <v t="s">...</v>
    <v t="s">113803</v>
    <v>53.1</v>
    <v t="s">C123</v>
    <v t="s">S</v>
    <v>5</v>
    <v>7</v>
    <v>0</v>
    <v>1</v>
    <v t="s">McCarthy, Mr. Timothy J</v>
    <v t="s">male</v>
    <v t="s">...</v>
    <v t="s">17463</v>
    <v>51.862499999999997</v>
    <v t="s">E46</v>
    <v t="s">S</v>
    <v>8</v>
    <v>24</v>
    <v>1</v>
    <v>1</v>
    <v t="s">Sloper, Mr. William Thompson</v>
    <v t="s">male</v>
    <v t="s">...</v>
    <v t="s">113788</v>
    <v>35.5</v>
    <v t="s">A6</v>
    <v t="s">S</v>
    <v>25</v>
    <v>28</v>
    <v>0</v>
    <v>1</v>
    <v t="s">Fortune, Mr. Charles Alexander</v>
    <v t="s">male</v>
    <v t="s">...</v>
    <v t="s">19950</v>
    <v>263</v>
    <v t="s">C23 C25 C27</v>
    <v t="s">S</v>
    <v>29</v>
    <v t="s">...</v>
    <v t="s">...</v>
    <v t="s">...</v>
    <v t="s">...</v>
    <v t="s">...</v>
    <v t="s">...</v>
    <v t="s">...</v>
    <v t="s">...</v>
    <v t="s">...</v>
    <v t="s">...</v>
    <v t="s">...</v>
    <v>857</v>
    <v>1</v>
    <v>1</v>
    <v t="s">Wick, Mrs. George Dennick (Mary Hitchcock)</v>
    <v t="s">female</v>
    <v t="s">...</v>
    <v t="s">36928</v>
    <v>164.86670000000001</v>
    <v t="s"/>
    <v t="s">S</v>
    <v>858</v>
    <v>864</v>
    <v>0</v>
    <v>3</v>
    <v t="s">Sage, Miss. Dorothy Edith "Dolly"</v>
    <v t="s">female</v>
    <v t="s">...</v>
    <v t="s">CA. 2343</v>
    <v>69.55</v>
    <v t="s"/>
    <v t="s">S</v>
    <v>867</v>
    <v>868</v>
    <v>0</v>
    <v>1</v>
    <v t="s">Roebling, Mr. Washington Augustus II</v>
    <v t="s">male</v>
    <v t="s">...</v>
    <v t="s">PC 17590</v>
    <v>50.495800000000003</v>
    <v t="s">A24</v>
    <v t="s">S</v>
    <v>869</v>
    <v>872</v>
    <v>1</v>
    <v>1</v>
    <v t="s">Beckwith, Mrs. Richard Leonard (Sallie Monypeny)</v>
    <v t="s">female</v>
    <v t="s">...</v>
    <v t="s">11751</v>
    <v>52.554200000000002</v>
    <v t="s">D35</v>
    <v t="s">S</v>
    <v>873</v>
    <v>880</v>
    <v>1</v>
    <v>1</v>
    <v t="s">Potter, Mrs. Thomas Jr (Lily Alexenia Wilson)</v>
    <v t="s">female</v>
    <v t="s">...</v>
    <v t="s">11767</v>
    <v>83.158299999999997</v>
    <v t="s">C50</v>
    <v t="s">C</v>
    <v>881</v>
  </a>
  <a r="12" c="11">
    <v t="s">PassengerId</v>
    <v t="s">Survived</v>
    <v t="s">Pclass</v>
    <v t="s">Name</v>
    <v t="s">Sex</v>
    <v t="s">...</v>
    <v t="s">Ticket</v>
    <v t="s">Fare</v>
    <v t="s">Cabin</v>
    <v t="s">Embarked</v>
    <v t="s">new_col1</v>
    <v>180</v>
    <v>0</v>
    <v>3</v>
    <v t="s">Leonard, Mr. Lionel</v>
    <v t="s">male</v>
    <v t="s">...</v>
    <v t="s">LINE</v>
    <v>0</v>
    <v t="s"/>
    <v t="s">S</v>
    <v>183</v>
    <v>264</v>
    <v>0</v>
    <v>1</v>
    <v t="s">Harrison, Mr. William</v>
    <v t="s">male</v>
    <v t="s">...</v>
    <v t="s">112059</v>
    <v>0</v>
    <v t="s">B94</v>
    <v t="s">S</v>
    <v>265</v>
    <v>272</v>
    <v>1</v>
    <v>3</v>
    <v t="s">Tornquist, Mr. William Henry</v>
    <v t="s">male</v>
    <v t="s">...</v>
    <v t="s">LINE</v>
    <v>0</v>
    <v t="s"/>
    <v t="s">S</v>
    <v>275</v>
    <v>278</v>
    <v>0</v>
    <v>2</v>
    <v t="s">Parkes, Mr. Francis "Frank"</v>
    <v t="s">male</v>
    <v t="s">...</v>
    <v t="s">239853</v>
    <v>0</v>
    <v t="s"/>
    <v t="s">S</v>
    <v>280</v>
    <v>303</v>
    <v>0</v>
    <v>3</v>
    <v t="s">Johnson, Mr. William Cahoone Jr</v>
    <v t="s">male</v>
    <v t="s">...</v>
    <v t="s">LINE</v>
    <v>0</v>
    <v t="s"/>
    <v t="s">S</v>
    <v>306</v>
    <v t="s">...</v>
    <v t="s">...</v>
    <v t="s">...</v>
    <v t="s">...</v>
    <v t="s">...</v>
    <v t="s">...</v>
    <v t="s">...</v>
    <v t="s">...</v>
    <v t="s">...</v>
    <v t="s">...</v>
    <v t="s">...</v>
    <v>675</v>
    <v>0</v>
    <v>2</v>
    <v t="s">Watson, Mr. Ennis Hastings</v>
    <v t="s">male</v>
    <v t="s">...</v>
    <v t="s">239856</v>
    <v>0</v>
    <v t="s"/>
    <v t="s">S</v>
    <v>677</v>
    <v>733</v>
    <v>0</v>
    <v>2</v>
    <v t="s">Knight, Mr. Robert J</v>
    <v t="s">male</v>
    <v t="s">...</v>
    <v t="s">239855</v>
    <v>0</v>
    <v t="s"/>
    <v t="s">S</v>
    <v>735</v>
    <v>807</v>
    <v>0</v>
    <v>1</v>
    <v t="s">Andrews, Mr. Thomas Jr</v>
    <v t="s">male</v>
    <v t="s">...</v>
    <v t="s">112050</v>
    <v>0</v>
    <v t="s">A36</v>
    <v t="s">S</v>
    <v>808</v>
    <v>816</v>
    <v>0</v>
    <v>1</v>
    <v t="s">Fry, Mr. Richard</v>
    <v t="s">male</v>
    <v t="s">...</v>
    <v t="s">112058</v>
    <v>0</v>
    <v t="s">B102</v>
    <v t="s">S</v>
    <v>817</v>
    <v>823</v>
    <v>0</v>
    <v>1</v>
    <v t="s">Reuchlin, Jonkheer. John George</v>
    <v t="s">male</v>
    <v t="s">...</v>
    <v t="s">19972</v>
    <v>0</v>
    <v t="s"/>
    <v t="s">S</v>
    <v>824</v>
  </a>
  <a r="12" c="11">
    <v t="s">PassengerId</v>
    <v t="s">Survived</v>
    <v t="s">Pclass</v>
    <v t="s">Name</v>
    <v t="s">Sex</v>
    <v t="s">...</v>
    <v t="s">Ticket</v>
    <v t="s">Fare</v>
    <v t="s">Cabin</v>
    <v t="s">Embarked</v>
    <v t="s">new_col1</v>
    <v>1</v>
    <v>0</v>
    <v>3</v>
    <v t="s">Braund, Mr. Owen Harris</v>
    <v t="s">male</v>
    <v t="s">...</v>
    <v t="s">A/5 21171</v>
    <v>7.25</v>
    <v t="s"/>
    <v t="s">S</v>
    <v>4</v>
    <v>5</v>
    <v>0</v>
    <v>3</v>
    <v t="s">Allen, Mr. William Henry</v>
    <v t="s">male</v>
    <v t="s">...</v>
    <v t="s">373450</v>
    <v>8.0500000000000007</v>
    <v t="s"/>
    <v t="s">S</v>
    <v>8</v>
    <v>6</v>
    <v>0</v>
    <v>3</v>
    <v t="s">Moran, Mr. James</v>
    <v t="s">male</v>
    <v t="s">...</v>
    <v t="s">330877</v>
    <v>8.4582999999999995</v>
    <v t="s"/>
    <v t="s">Q</v>
    <v>9</v>
    <v>7</v>
    <v>0</v>
    <v>1</v>
    <v t="s">McCarthy, Mr. Timothy J</v>
    <v t="s">male</v>
    <v t="s">...</v>
    <v t="s">17463</v>
    <v>51.862499999999997</v>
    <v t="s">E46</v>
    <v t="s">S</v>
    <v>8</v>
    <v>8</v>
    <v>0</v>
    <v>3</v>
    <v t="s">Palsson, Master. Gosta Leonard</v>
    <v t="s">male</v>
    <v t="s">...</v>
    <v t="s">349909</v>
    <v>21.074999999999999</v>
    <v t="s"/>
    <v t="s">S</v>
    <v>11</v>
    <v t="s">...</v>
    <v t="s">...</v>
    <v t="s">...</v>
    <v t="s">...</v>
    <v t="s">...</v>
    <v t="s">...</v>
    <v t="s">...</v>
    <v t="s">...</v>
    <v t="s">...</v>
    <v t="s">...</v>
    <v t="s">...</v>
    <v>884</v>
    <v>0</v>
    <v>2</v>
    <v t="s">Banfield, Mr. Frederick James</v>
    <v t="s">male</v>
    <v t="s">...</v>
    <v t="s">C.A./SOTON 34068</v>
    <v>10.5</v>
    <v t="s"/>
    <v t="s">S</v>
    <v>886</v>
    <v>885</v>
    <v>0</v>
    <v>3</v>
    <v t="s">Sutehall, Mr. Henry Jr</v>
    <v t="s">male</v>
    <v t="s">...</v>
    <v t="s">SOTON/OQ 392076</v>
    <v>7.05</v>
    <v t="s"/>
    <v t="s">S</v>
    <v>888</v>
    <v>887</v>
    <v>0</v>
    <v>2</v>
    <v t="s">Montvila, Rev. Juozas</v>
    <v t="s">male</v>
    <v t="s">...</v>
    <v t="s">211536</v>
    <v>13</v>
    <v t="s"/>
    <v t="s">S</v>
    <v>889</v>
    <v>890</v>
    <v>1</v>
    <v>1</v>
    <v t="s">Behr, Mr. Karl Howell</v>
    <v t="s">male</v>
    <v t="s">...</v>
    <v t="s">111369</v>
    <v>30</v>
    <v t="s">C148</v>
    <v t="s">C</v>
    <v>891</v>
    <v>891</v>
    <v>0</v>
    <v>3</v>
    <v t="s">Dooley, Mr. Patrick</v>
    <v t="s">male</v>
    <v t="s">...</v>
    <v t="s">370376</v>
    <v>7.75</v>
    <v t="s"/>
    <v t="s">Q</v>
    <v>894</v>
  </a>
  <a r="12" c="11">
    <v t="s">PassengerId</v>
    <v t="s">Survived</v>
    <v t="s">Pclass</v>
    <v t="s">Name</v>
    <v t="s">Sex</v>
    <v t="s">...</v>
    <v t="s">Ticket</v>
    <v t="s">Fare</v>
    <v t="s">Cabin</v>
    <v t="s">Embarked</v>
    <v t="s">new_col1</v>
    <v>2</v>
    <v>1</v>
    <v>1</v>
    <v t="s">Cumings, Mrs. John Bradley (Florence Briggs Thayer)</v>
    <v t="s">female</v>
    <v t="s">...</v>
    <v t="s">PC 17599</v>
    <v>71.283299999999997</v>
    <v t="s">C85</v>
    <v t="s">C</v>
    <v>3</v>
    <v>3</v>
    <v>1</v>
    <v>3</v>
    <v t="s">Heikkinen, Miss. Laina</v>
    <v t="s">female</v>
    <v t="s">...</v>
    <v t="s">STON/O2. 3101282</v>
    <v>7.9249999999999998</v>
    <v t="s"/>
    <v t="s">S</v>
    <v>6</v>
    <v>4</v>
    <v>1</v>
    <v>1</v>
    <v t="s">Futrelle, Mrs. Jacques Heath (Lily May Peel)</v>
    <v t="s">female</v>
    <v t="s">...</v>
    <v t="s">113803</v>
    <v>53.1</v>
    <v t="s">C123</v>
    <v t="s">S</v>
    <v>5</v>
    <v>9</v>
    <v>1</v>
    <v>3</v>
    <v t="s">Johnson, Mrs. Oscar W (Elisabeth Vilhelmina Berg)</v>
    <v t="s">female</v>
    <v t="s">...</v>
    <v t="s">347742</v>
    <v>11.1333</v>
    <v t="s"/>
    <v t="s">S</v>
    <v>12</v>
    <v>10</v>
    <v>1</v>
    <v>2</v>
    <v t="s">Nasser, Mrs. Nicholas (Adele Achem)</v>
    <v t="s">female</v>
    <v t="s">...</v>
    <v t="s">237736</v>
    <v>30.070799999999998</v>
    <v t="s"/>
    <v t="s">C</v>
    <v>12</v>
    <v t="s">...</v>
    <v t="s">...</v>
    <v t="s">...</v>
    <v t="s">...</v>
    <v t="s">...</v>
    <v t="s">...</v>
    <v t="s">...</v>
    <v t="s">...</v>
    <v t="s">...</v>
    <v t="s">...</v>
    <v t="s">...</v>
    <v>881</v>
    <v>1</v>
    <v>2</v>
    <v t="s">Shelley, Mrs. William (Imanita Parrish Hall)</v>
    <v t="s">female</v>
    <v t="s">...</v>
    <v t="s">230433</v>
    <v>26</v>
    <v t="s"/>
    <v t="s">S</v>
    <v>883</v>
    <v>883</v>
    <v>0</v>
    <v>3</v>
    <v t="s">Dahlberg, Miss. Gerda Ulrika</v>
    <v t="s">female</v>
    <v t="s">...</v>
    <v t="s">7552</v>
    <v>10.5167</v>
    <v t="s"/>
    <v t="s">S</v>
    <v>886</v>
    <v>886</v>
    <v>0</v>
    <v>3</v>
    <v t="s">Rice, Mrs. William (Margaret Norton)</v>
    <v t="s">female</v>
    <v t="s">...</v>
    <v t="s">382652</v>
    <v>29.125</v>
    <v t="s"/>
    <v t="s">Q</v>
    <v>889</v>
    <v>888</v>
    <v>1</v>
    <v>1</v>
    <v t="s">Graham, Miss. Margaret Edith</v>
    <v t="s">female</v>
    <v t="s">...</v>
    <v t="s">112053</v>
    <v>30</v>
    <v t="s">B42</v>
    <v t="s">S</v>
    <v>889</v>
    <v>889</v>
    <v>0</v>
    <v>3</v>
    <v t="s">Johnston, Miss. Catherine Helen "Carrie"</v>
    <v t="s">female</v>
    <v t="s">...</v>
    <v t="s">W./C. 6607</v>
    <v>23.45</v>
    <v t="s"/>
    <v t="s">S</v>
    <v>892</v>
  </a>
  <a r="12" c="11">
    <v t="s">PassengerId</v>
    <v t="s">Survived</v>
    <v t="s">Pclass</v>
    <v t="s">Name</v>
    <v t="s">Sex</v>
    <v t="s">...</v>
    <v t="s">Ticket</v>
    <v t="s">Fare</v>
    <v t="s">Cabin</v>
    <v t="s">Embarked</v>
    <v t="s">new_col1</v>
    <v>2</v>
    <v>1</v>
    <v>1</v>
    <v t="s">Cumings, Mrs. John Bradley (Florence Briggs Thayer)</v>
    <v t="s">female</v>
    <v t="s">...</v>
    <v t="s">PC 17599</v>
    <v>71.283299999999997</v>
    <v t="s">C85</v>
    <v t="s">C</v>
    <v>3</v>
    <v>4</v>
    <v>1</v>
    <v>1</v>
    <v t="s">Futrelle, Mrs. Jacques Heath (Lily May Peel)</v>
    <v t="s">female</v>
    <v t="s">...</v>
    <v t="s">113803</v>
    <v>53.1</v>
    <v t="s">C123</v>
    <v t="s">S</v>
    <v>5</v>
    <v>7</v>
    <v>0</v>
    <v>1</v>
    <v t="s">McCarthy, Mr. Timothy J</v>
    <v t="s">male</v>
    <v t="s">...</v>
    <v t="s">17463</v>
    <v>51.862499999999997</v>
    <v t="s">E46</v>
    <v t="s">S</v>
    <v>8</v>
    <v>12</v>
    <v>1</v>
    <v>1</v>
    <v t="s">Bonnell, Miss. Elizabeth</v>
    <v t="s">female</v>
    <v t="s">...</v>
    <v t="s">113783</v>
    <v>26.55</v>
    <v t="s">C103</v>
    <v t="s">S</v>
    <v>13</v>
    <v>24</v>
    <v>1</v>
    <v>1</v>
    <v t="s">Sloper, Mr. William Thompson</v>
    <v t="s">male</v>
    <v t="s">...</v>
    <v t="s">113788</v>
    <v>35.5</v>
    <v t="s">A6</v>
    <v t="s">S</v>
    <v>25</v>
    <v t="s">...</v>
    <v t="s">...</v>
    <v t="s">...</v>
    <v t="s">...</v>
    <v t="s">...</v>
    <v t="s">...</v>
    <v t="s">...</v>
    <v t="s">...</v>
    <v t="s">...</v>
    <v t="s">...</v>
    <v t="s">...</v>
    <v>872</v>
    <v>1</v>
    <v>1</v>
    <v t="s">Beckwith, Mrs. Richard Leonard (Sallie Monypeny)</v>
    <v t="s">female</v>
    <v t="s">...</v>
    <v t="s">11751</v>
    <v>52.554200000000002</v>
    <v t="s">D35</v>
    <v t="s">S</v>
    <v>873</v>
    <v>873</v>
    <v>0</v>
    <v>1</v>
    <v t="s">Carlsson, Mr. Frans Olof</v>
    <v t="s">male</v>
    <v t="s">...</v>
    <v t="s">695</v>
    <v>5</v>
    <v t="s">B51 B53 B55</v>
    <v t="s">S</v>
    <v>874</v>
    <v>880</v>
    <v>1</v>
    <v>1</v>
    <v t="s">Potter, Mrs. Thomas Jr (Lily Alexenia Wilson)</v>
    <v t="s">female</v>
    <v t="s">...</v>
    <v t="s">11767</v>
    <v>83.158299999999997</v>
    <v t="s">C50</v>
    <v t="s">C</v>
    <v>881</v>
    <v>888</v>
    <v>1</v>
    <v>1</v>
    <v t="s">Graham, Miss. Margaret Edith</v>
    <v t="s">female</v>
    <v t="s">...</v>
    <v t="s">112053</v>
    <v>30</v>
    <v t="s">B42</v>
    <v t="s">S</v>
    <v>889</v>
    <v>890</v>
    <v>1</v>
    <v>1</v>
    <v t="s">Behr, Mr. Karl Howell</v>
    <v t="s">male</v>
    <v t="s">...</v>
    <v t="s">111369</v>
    <v>30</v>
    <v t="s">C148</v>
    <v t="s">C</v>
    <v>891</v>
  </a>
  <a r="12" c="11">
    <v t="s">PassengerId</v>
    <v t="s">Survived</v>
    <v t="s">Pclass</v>
    <v t="s">Name</v>
    <v t="s">Sex</v>
    <v t="s">...</v>
    <v t="s">Ticket</v>
    <v t="s">Fare</v>
    <v t="s">Cabin</v>
    <v t="s">Embarked</v>
    <v t="s">new_col1</v>
    <v>2</v>
    <v>1</v>
    <v>1</v>
    <v t="s">Cumings, Mrs. John Bradley (Florence Briggs Thayer)</v>
    <v t="s">female</v>
    <v t="s">...</v>
    <v t="s">PC 17599</v>
    <v>71.283299999999997</v>
    <v t="s">C85</v>
    <v t="s">C</v>
    <v>3</v>
    <v>3</v>
    <v>1</v>
    <v>3</v>
    <v t="s">Heikkinen, Miss. Laina</v>
    <v t="s">female</v>
    <v t="s">...</v>
    <v t="s">STON/O2. 3101282</v>
    <v>7.9249999999999998</v>
    <v t="s"/>
    <v t="s">S</v>
    <v>6</v>
    <v>4</v>
    <v>1</v>
    <v>1</v>
    <v t="s">Futrelle, Mrs. Jacques Heath (Lily May Peel)</v>
    <v t="s">female</v>
    <v t="s">...</v>
    <v t="s">113803</v>
    <v>53.1</v>
    <v t="s">C123</v>
    <v t="s">S</v>
    <v>5</v>
    <v>9</v>
    <v>1</v>
    <v>3</v>
    <v t="s">Johnson, Mrs. Oscar W (Elisabeth Vilhelmina Berg)</v>
    <v t="s">female</v>
    <v t="s">...</v>
    <v t="s">347742</v>
    <v>11.1333</v>
    <v t="s"/>
    <v t="s">S</v>
    <v>12</v>
    <v>10</v>
    <v>1</v>
    <v>2</v>
    <v t="s">Nasser, Mrs. Nicholas (Adele Achem)</v>
    <v t="s">female</v>
    <v t="s">...</v>
    <v t="s">237736</v>
    <v>30.070799999999998</v>
    <v t="s"/>
    <v t="s">C</v>
    <v>12</v>
    <v t="s">...</v>
    <v t="s">...</v>
    <v t="s">...</v>
    <v t="s">...</v>
    <v t="s">...</v>
    <v t="s">...</v>
    <v t="s">...</v>
    <v t="s">...</v>
    <v t="s">...</v>
    <v t="s">...</v>
    <v t="s">...</v>
    <v>876</v>
    <v>1</v>
    <v>3</v>
    <v t="s">Najib, Miss. Adele Kiamie "Jane"</v>
    <v t="s">female</v>
    <v t="s">...</v>
    <v t="s">2667</v>
    <v>7.2249999999999996</v>
    <v t="s"/>
    <v t="s">C</v>
    <v>879</v>
    <v>880</v>
    <v>1</v>
    <v>1</v>
    <v t="s">Potter, Mrs. Thomas Jr (Lily Alexenia Wilson)</v>
    <v t="s">female</v>
    <v t="s">...</v>
    <v t="s">11767</v>
    <v>83.158299999999997</v>
    <v t="s">C50</v>
    <v t="s">C</v>
    <v>881</v>
    <v>881</v>
    <v>1</v>
    <v>2</v>
    <v t="s">Shelley, Mrs. William (Imanita Parrish Hall)</v>
    <v t="s">female</v>
    <v t="s">...</v>
    <v t="s">230433</v>
    <v>26</v>
    <v t="s"/>
    <v t="s">S</v>
    <v>883</v>
    <v>888</v>
    <v>1</v>
    <v>1</v>
    <v t="s">Graham, Miss. Margaret Edith</v>
    <v t="s">female</v>
    <v t="s">...</v>
    <v t="s">112053</v>
    <v>30</v>
    <v t="s">B42</v>
    <v t="s">S</v>
    <v>889</v>
    <v>890</v>
    <v>1</v>
    <v>1</v>
    <v t="s">Behr, Mr. Karl Howell</v>
    <v t="s">male</v>
    <v t="s">...</v>
    <v t="s">111369</v>
    <v>30</v>
    <v t="s">C148</v>
    <v t="s">C</v>
    <v>891</v>
  </a>
  <a r="12">
    <v t="s">Sex</v>
    <v t="b">0</v>
    <v t="b">0</v>
    <v t="b">0</v>
    <v t="b">0</v>
    <v t="b">0</v>
    <v t="s">...</v>
    <v t="b">0</v>
    <v t="b">0</v>
    <v t="b">0</v>
    <v t="b">0</v>
    <v t="b">0</v>
  </a>
  <a r="12">
    <v t="s">Fare</v>
    <v t="b">0</v>
    <v t="b">1</v>
    <v t="b">0</v>
    <v t="b">1</v>
    <v t="b">0</v>
    <v t="s">...</v>
    <v t="b">0</v>
    <v t="b">0</v>
    <v t="b">0</v>
    <v t="b">0</v>
    <v t="b">0</v>
  </a>
  <a r="12" c="11">
    <v t="s">PassengerId</v>
    <v t="s">Survived</v>
    <v t="s">Pclass</v>
    <v t="s">Name</v>
    <v t="s">Sex</v>
    <v t="s">...</v>
    <v t="s">Ticket</v>
    <v t="s">Fare</v>
    <v t="s">Cabin</v>
    <v t="s">Embarked</v>
    <v t="s">new_col1</v>
    <v>7</v>
    <v>0</v>
    <v>1</v>
    <v t="s">McCarthy, Mr. Timothy J</v>
    <v t="s">male</v>
    <v t="s">...</v>
    <v t="s">17463</v>
    <v>51.862499999999997</v>
    <v t="s">E46</v>
    <v t="s">S</v>
    <v>8</v>
    <v>24</v>
    <v>1</v>
    <v>1</v>
    <v t="s">Sloper, Mr. William Thompson</v>
    <v t="s">male</v>
    <v t="s">...</v>
    <v t="s">113788</v>
    <v>35.5</v>
    <v t="s">A6</v>
    <v t="s">S</v>
    <v>25</v>
    <v>28</v>
    <v>0</v>
    <v>1</v>
    <v t="s">Fortune, Mr. Charles Alexander</v>
    <v t="s">male</v>
    <v t="s">...</v>
    <v t="s">19950</v>
    <v>263</v>
    <v t="s">C23 C25 C27</v>
    <v t="s">S</v>
    <v>29</v>
    <v>35</v>
    <v>0</v>
    <v>1</v>
    <v t="s">Meyer, Mr. Edgar Joseph</v>
    <v t="s">male</v>
    <v t="s">...</v>
    <v t="s">PC 17604</v>
    <v>82.1708</v>
    <v t="s"/>
    <v t="s">C</v>
    <v>36</v>
    <v>36</v>
    <v>0</v>
    <v>1</v>
    <v t="s">Holverson, Mr. Alexander Oskar</v>
    <v t="s">male</v>
    <v t="s">...</v>
    <v t="s">113789</v>
    <v>52</v>
    <v t="s"/>
    <v t="s">S</v>
    <v>37</v>
    <v t="s">...</v>
    <v t="s">...</v>
    <v t="s">...</v>
    <v t="s">...</v>
    <v t="s">...</v>
    <v t="s">...</v>
    <v t="s">...</v>
    <v t="s">...</v>
    <v t="s">...</v>
    <v t="s">...</v>
    <v t="s">...</v>
    <v>828</v>
    <v>1</v>
    <v>2</v>
    <v t="s">Mallet, Master. Andre</v>
    <v t="s">male</v>
    <v t="s">...</v>
    <v t="s">S.C./PARIS 2079</v>
    <v>37.004199999999997</v>
    <v t="s"/>
    <v t="s">C</v>
    <v>830</v>
    <v>839</v>
    <v>1</v>
    <v>3</v>
    <v t="s">Chip, Mr. Chang</v>
    <v t="s">male</v>
    <v t="s">...</v>
    <v t="s">1601</v>
    <v>56.495800000000003</v>
    <v t="s"/>
    <v t="s">S</v>
    <v>842</v>
    <v>847</v>
    <v>0</v>
    <v>3</v>
    <v t="s">Sage, Mr. Douglas Bullen</v>
    <v t="s">male</v>
    <v t="s">...</v>
    <v t="s">CA. 2343</v>
    <v>69.55</v>
    <v t="s"/>
    <v t="s">S</v>
    <v>850</v>
    <v>849</v>
    <v>0</v>
    <v>2</v>
    <v t="s">Harper, Rev. John</v>
    <v t="s">male</v>
    <v t="s">...</v>
    <v t="s">248727</v>
    <v>33</v>
    <v t="s"/>
    <v t="s">S</v>
    <v>851</v>
    <v>868</v>
    <v>0</v>
    <v>1</v>
    <v t="s">Roebling, Mr. Washington Augustus II</v>
    <v t="s">male</v>
    <v t="s">...</v>
    <v t="s">PC 17590</v>
    <v>50.495800000000003</v>
    <v t="s">A24</v>
    <v t="s">S</v>
    <v>869</v>
  </a>
  <a r="4">
    <v t="s">Name</v>
    <v t="s">Ward, Miss. Anna</v>
    <v t="s">Cardeza, Mr. Thomas Drake Martinez</v>
    <v t="s">Lesurer, Mr. Gustave J</v>
  </a>
  <a r="12" c="11">
    <v t="s">PassengerId</v>
    <v t="s">Survived</v>
    <v t="s">Pclass</v>
    <v t="s">Name</v>
    <v t="s">Sex</v>
    <v t="s">...</v>
    <v t="s">Ticket</v>
    <v t="s">Fare</v>
    <v t="s">Cabin</v>
    <v t="s">Embarked</v>
    <v t="s">new_col1</v>
    <v>1</v>
    <v>0</v>
    <v>3</v>
    <v t="s">Braund, Mr. Owen Harris</v>
    <v t="s">male</v>
    <v t="s">...</v>
    <v t="s">A/5 21171</v>
    <v>7.25</v>
    <v t="s"/>
    <v t="s">S</v>
    <v>4</v>
    <v>3</v>
    <v>1</v>
    <v>3</v>
    <v t="s">Heikkinen, Miss. Laina</v>
    <v t="s">female</v>
    <v t="s">...</v>
    <v t="s">STON/O2. 3101282</v>
    <v>7.9249999999999998</v>
    <v t="s"/>
    <v t="s">S</v>
    <v>6</v>
    <v>5</v>
    <v>0</v>
    <v>3</v>
    <v t="s">Allen, Mr. William Henry</v>
    <v t="s">male</v>
    <v t="s">...</v>
    <v t="s">373450</v>
    <v>8.0500000000000007</v>
    <v t="s"/>
    <v t="s">S</v>
    <v>8</v>
    <v>7</v>
    <v>0</v>
    <v>1</v>
    <v t="s">McCarthy, Mr. Timothy J</v>
    <v t="s">male</v>
    <v t="s">...</v>
    <v t="s">17463</v>
    <v>51.862499999999997</v>
    <v t="s">E46</v>
    <v t="s">S</v>
    <v>8</v>
    <v>9</v>
    <v>1</v>
    <v>3</v>
    <v t="s">Johnson, Mrs. Oscar W (Elisabeth Vilhelmina Berg)</v>
    <v t="s">female</v>
    <v t="s">...</v>
    <v t="s">347742</v>
    <v>11.1333</v>
    <v t="s"/>
    <v t="s">S</v>
    <v>12</v>
    <v t="s">...</v>
    <v t="s">...</v>
    <v t="s">...</v>
    <v t="s">...</v>
    <v t="s">...</v>
    <v t="s">...</v>
    <v t="s">...</v>
    <v t="s">...</v>
    <v t="s">...</v>
    <v t="s">...</v>
    <v t="s">...</v>
    <v>883</v>
    <v>0</v>
    <v>3</v>
    <v t="s">Dahlberg, Miss. Gerda Ulrika</v>
    <v t="s">female</v>
    <v t="s">...</v>
    <v t="s">7552</v>
    <v>10.5167</v>
    <v t="s"/>
    <v t="s">S</v>
    <v>886</v>
    <v>885</v>
    <v>0</v>
    <v>3</v>
    <v t="s">Sutehall, Mr. Henry Jr</v>
    <v t="s">male</v>
    <v t="s">...</v>
    <v t="s">SOTON/OQ 392076</v>
    <v>7.05</v>
    <v t="s"/>
    <v t="s">S</v>
    <v>888</v>
    <v>887</v>
    <v>0</v>
    <v>2</v>
    <v t="s">Montvila, Rev. Juozas</v>
    <v t="s">male</v>
    <v t="s">...</v>
    <v t="s">211536</v>
    <v>13</v>
    <v t="s"/>
    <v t="s">S</v>
    <v>889</v>
    <v>889</v>
    <v>0</v>
    <v>3</v>
    <v t="s">Johnston, Miss. Catherine Helen "Carrie"</v>
    <v t="s">female</v>
    <v t="s">...</v>
    <v t="s">W./C. 6607</v>
    <v>23.45</v>
    <v t="s"/>
    <v t="s">S</v>
    <v>892</v>
    <v>891</v>
    <v>0</v>
    <v>3</v>
    <v t="s">Dooley, Mr. Patrick</v>
    <v t="s">male</v>
    <v t="s">...</v>
    <v t="s">370376</v>
    <v>7.75</v>
    <v t="s"/>
    <v t="s">Q</v>
    <v>894</v>
  </a>
  <a r="3" c="3">
    <v t="s">PassengerId</v>
    <v t="s">Survived</v>
    <v t="s">Pclass</v>
    <v>1</v>
    <v>0</v>
    <v>3</v>
    <v>2</v>
    <v>1</v>
    <v>1</v>
  </a>
  <a r="4" c="3">
    <v t="s">PassengerId</v>
    <v t="s">Survived</v>
    <v t="s">Pclass</v>
    <v>1</v>
    <v>0</v>
    <v>3</v>
    <v>2</v>
    <v>1</v>
    <v>1</v>
    <v>3</v>
    <v>1</v>
    <v>3</v>
  </a>
  <a r="11">
    <v t="s">Name</v>
    <v t="s">Braund, Mr. Owen Harris</v>
    <v t="s">Cumings, Mrs. John Bradley (Florence Briggs Thayer)</v>
    <v t="s">Heikkinen, Miss. Laina</v>
    <v t="s">Futrelle, Mrs. Jacques Heath (Lily May Peel)</v>
    <v t="s">Allen, Mr. William Henry</v>
    <v t="s">Moran, Mr. James</v>
    <v t="s">McCarthy, Mr. Timothy J</v>
    <v t="s">Palsson, Master. Gosta Leonard</v>
    <v t="s">Johnson, Mrs. Oscar W (Elisabeth Vilhelmina Berg)</v>
    <v t="s">Nasser, Mrs. Nicholas (Adele Achem)</v>
  </a>
  <a r="12" c="11">
    <v t="s">Survived</v>
    <v t="s">Pclass</v>
    <v t="s">Name</v>
    <v t="s">Sex</v>
    <v t="s">Age</v>
    <v t="s">...</v>
    <v t="s">Ticket</v>
    <v t="s">Fare</v>
    <v t="s">Cabin</v>
    <v t="s">Embarked</v>
    <v t="s">new_col1</v>
    <v>0</v>
    <v>3</v>
    <v t="s">Braund, Mr. Owen Harris</v>
    <v t="s">male</v>
    <v>22</v>
    <v t="s">...</v>
    <v t="s">A/5 21171</v>
    <v>7.25</v>
    <v t="s"/>
    <v t="s">S</v>
    <v>4</v>
    <v>1</v>
    <v>1</v>
    <v t="s">Cumings, Mrs. John Bradley (Florence Briggs Thayer)</v>
    <v t="s">female</v>
    <v>38</v>
    <v t="s">...</v>
    <v t="s">PC 17599</v>
    <v>71.283299999999997</v>
    <v t="s">C85</v>
    <v t="s">C</v>
    <v>3</v>
    <v>1</v>
    <v>3</v>
    <v t="s">Heikkinen, Miss. Laina</v>
    <v t="s">female</v>
    <v>26</v>
    <v t="s">...</v>
    <v t="s">STON/O2. 3101282</v>
    <v>7.9249999999999998</v>
    <v t="s"/>
    <v t="s">S</v>
    <v>6</v>
    <v>0</v>
    <v>3</v>
    <v t="s">Allen, Mr. William Henry</v>
    <v t="s">male</v>
    <v>35</v>
    <v t="s">...</v>
    <v t="s">373450</v>
    <v>8.0500000000000007</v>
    <v t="s"/>
    <v t="s">S</v>
    <v>8</v>
    <v>0</v>
    <v>3</v>
    <v t="s">Moran, Mr. James</v>
    <v t="s">male</v>
    <v t="e">#NUM!</v>
    <v t="s">...</v>
    <v t="s">330877</v>
    <v>8.4582999999999995</v>
    <v t="s"/>
    <v t="s">Q</v>
    <v>9</v>
    <v t="s">...</v>
    <v t="s">...</v>
    <v t="s">...</v>
    <v t="s">...</v>
    <v t="s">...</v>
    <v t="s">...</v>
    <v t="s">...</v>
    <v t="s">...</v>
    <v t="s">...</v>
    <v t="s">...</v>
    <v t="s">...</v>
    <v>0</v>
    <v>2</v>
    <v t="s">Montvila, Rev. Juozas</v>
    <v t="s">male</v>
    <v>27</v>
    <v t="s">...</v>
    <v t="s">211536</v>
    <v>13</v>
    <v t="s"/>
    <v t="s">S</v>
    <v>889</v>
    <v>1</v>
    <v>1</v>
    <v t="s">Graham, Miss. Margaret Edith</v>
    <v t="s">female</v>
    <v>19</v>
    <v t="s">...</v>
    <v t="s">112053</v>
    <v>30</v>
    <v t="s">B42</v>
    <v t="s">S</v>
    <v>889</v>
    <v>0</v>
    <v>3</v>
    <v t="s">Johnston, Miss. Catherine Helen "Carrie"</v>
    <v t="s">female</v>
    <v t="e">#NUM!</v>
    <v t="s">...</v>
    <v t="s">W./C. 6607</v>
    <v>23.45</v>
    <v t="s"/>
    <v t="s">S</v>
    <v>892</v>
    <v>1</v>
    <v>1</v>
    <v t="s">Behr, Mr. Karl Howell</v>
    <v t="s">male</v>
    <v>26</v>
    <v t="s">...</v>
    <v t="s">111369</v>
    <v>30</v>
    <v t="s">C148</v>
    <v t="s">C</v>
    <v>891</v>
    <v>0</v>
    <v>3</v>
    <v t="s">Dooley, Mr. Patrick</v>
    <v t="s">male</v>
    <v>32</v>
    <v t="s">...</v>
    <v t="s">370376</v>
    <v>7.75</v>
    <v t="s"/>
    <v t="s">Q</v>
    <v>894</v>
  </a>
  <a r="13" c="12">
    <v t="s"/>
    <v t="s">Survived</v>
    <v t="s">Pclass</v>
    <v t="s">Sex</v>
    <v t="s">Age</v>
    <v t="s">SibSp</v>
    <v t="s">...</v>
    <v t="s">Ticket</v>
    <v t="s">Fare</v>
    <v t="s">Cabin</v>
    <v t="s">Embarked</v>
    <v t="s">new_col1</v>
    <v t="s">Name</v>
    <v t="s"/>
    <v t="s"/>
    <v t="s"/>
    <v t="s"/>
    <v t="s"/>
    <v t="s"/>
    <v t="s"/>
    <v t="s"/>
    <v t="s"/>
    <v t="s"/>
    <v t="s"/>
    <v t="s">Braund, Mr. Owen Harris</v>
    <v>0</v>
    <v>3</v>
    <v t="s">male</v>
    <v>22</v>
    <v>1</v>
    <v t="s">...</v>
    <v t="s">A/5 21171</v>
    <v>7.25</v>
    <v t="s"/>
    <v t="s">S</v>
    <v>4</v>
    <v t="s">Cumings, Mrs. John Bradley (Florence Briggs Thayer)</v>
    <v>1</v>
    <v>1</v>
    <v t="s">female</v>
    <v>38</v>
    <v>1</v>
    <v t="s">...</v>
    <v t="s">PC 17599</v>
    <v>71.283299999999997</v>
    <v t="s">C85</v>
    <v t="s">C</v>
    <v>3</v>
    <v t="s">Heikkinen, Miss. Laina</v>
    <v>1</v>
    <v>3</v>
    <v t="s">female</v>
    <v>26</v>
    <v>0</v>
    <v t="s">...</v>
    <v t="s">STON/O2. 3101282</v>
    <v>7.9249999999999998</v>
    <v t="s"/>
    <v t="s">S</v>
    <v>6</v>
    <v t="s">Allen, Mr. William Henry</v>
    <v>0</v>
    <v>3</v>
    <v t="s">male</v>
    <v>35</v>
    <v>0</v>
    <v t="s">...</v>
    <v t="s">373450</v>
    <v>8.0500000000000007</v>
    <v t="s"/>
    <v t="s">S</v>
    <v>8</v>
    <v t="s">Moran, Mr. James</v>
    <v>0</v>
    <v>3</v>
    <v t="s">male</v>
    <v t="e">#NUM!</v>
    <v>0</v>
    <v t="s">...</v>
    <v t="s">330877</v>
    <v>8.4582999999999995</v>
    <v t="s"/>
    <v t="s">Q</v>
    <v>9</v>
    <v t="s">...</v>
    <v t="s">...</v>
    <v t="s">...</v>
    <v t="s">...</v>
    <v t="s">...</v>
    <v t="s">...</v>
    <v t="s">...</v>
    <v t="s">...</v>
    <v t="s">...</v>
    <v t="s">...</v>
    <v t="s">...</v>
    <v t="s">...</v>
    <v t="s">Montvila, Rev. Juozas</v>
    <v>0</v>
    <v>2</v>
    <v t="s">male</v>
    <v>27</v>
    <v>0</v>
    <v t="s">...</v>
    <v t="s">211536</v>
    <v>13</v>
    <v t="s"/>
    <v t="s">S</v>
    <v>889</v>
    <v t="s">Graham, Miss. Margaret Edith</v>
    <v>1</v>
    <v>1</v>
    <v t="s">female</v>
    <v>19</v>
    <v>0</v>
    <v t="s">...</v>
    <v t="s">112053</v>
    <v>30</v>
    <v t="s">B42</v>
    <v t="s">S</v>
    <v>889</v>
    <v t="s">Johnston, Miss. Catherine Helen "Carrie"</v>
    <v>0</v>
    <v>3</v>
    <v t="s">female</v>
    <v t="e">#NUM!</v>
    <v>1</v>
    <v t="s">...</v>
    <v t="s">W./C. 6607</v>
    <v>23.45</v>
    <v t="s"/>
    <v t="s">S</v>
    <v>892</v>
    <v t="s">Behr, Mr. Karl Howell</v>
    <v>1</v>
    <v>1</v>
    <v t="s">male</v>
    <v>26</v>
    <v>0</v>
    <v t="s">...</v>
    <v t="s">111369</v>
    <v>30</v>
    <v t="s">C148</v>
    <v t="s">C</v>
    <v>891</v>
    <v t="s">Dooley, Mr. Patrick</v>
    <v>0</v>
    <v>3</v>
    <v t="s">male</v>
    <v>32</v>
    <v>0</v>
    <v t="s">...</v>
    <v t="s">370376</v>
    <v>7.75</v>
    <v t="s"/>
    <v t="s">Q</v>
    <v>894</v>
  </a>
  <a r="12" c="11">
    <v t="s">Name</v>
    <v t="s">Survived</v>
    <v t="s">Pclass</v>
    <v t="s">Sex</v>
    <v t="s">Age</v>
    <v t="s">...</v>
    <v t="s">Ticket</v>
    <v t="s">Fare</v>
    <v t="s">Cabin</v>
    <v t="s">Embarked</v>
    <v t="s">new_col1</v>
    <v t="s">Braund, Mr. Owen Harris</v>
    <v>0</v>
    <v>3</v>
    <v t="s">male</v>
    <v>22</v>
    <v t="s">...</v>
    <v t="s">A/5 21171</v>
    <v>7.25</v>
    <v t="s"/>
    <v t="s">S</v>
    <v>4</v>
    <v t="s">Cumings, Mrs. John Bradley (Florence Briggs Thayer)</v>
    <v>1</v>
    <v>1</v>
    <v t="s">female</v>
    <v>38</v>
    <v t="s">...</v>
    <v t="s">PC 17599</v>
    <v>71.283299999999997</v>
    <v t="s">C85</v>
    <v t="s">C</v>
    <v>3</v>
    <v t="s">Heikkinen, Miss. Laina</v>
    <v>1</v>
    <v>3</v>
    <v t="s">female</v>
    <v>26</v>
    <v t="s">...</v>
    <v t="s">STON/O2. 3101282</v>
    <v>7.9249999999999998</v>
    <v t="s"/>
    <v t="s">S</v>
    <v>6</v>
    <v t="s">Allen, Mr. William Henry</v>
    <v>0</v>
    <v>3</v>
    <v t="s">male</v>
    <v>35</v>
    <v t="s">...</v>
    <v t="s">373450</v>
    <v>8.0500000000000007</v>
    <v t="s"/>
    <v t="s">S</v>
    <v>8</v>
    <v t="s">Moran, Mr. James</v>
    <v>0</v>
    <v>3</v>
    <v t="s">male</v>
    <v t="e">#NUM!</v>
    <v t="s">...</v>
    <v t="s">330877</v>
    <v>8.4582999999999995</v>
    <v t="s"/>
    <v t="s">Q</v>
    <v>9</v>
    <v t="s">...</v>
    <v t="s">...</v>
    <v t="s">...</v>
    <v t="s">...</v>
    <v t="s">...</v>
    <v t="s">...</v>
    <v t="s">...</v>
    <v t="s">...</v>
    <v t="s">...</v>
    <v t="s">...</v>
    <v t="s">...</v>
    <v t="s">Montvila, Rev. Juozas</v>
    <v>0</v>
    <v>2</v>
    <v t="s">male</v>
    <v>27</v>
    <v t="s">...</v>
    <v t="s">211536</v>
    <v>13</v>
    <v t="s"/>
    <v t="s">S</v>
    <v>889</v>
    <v t="s">Graham, Miss. Margaret Edith</v>
    <v>1</v>
    <v>1</v>
    <v t="s">female</v>
    <v>19</v>
    <v t="s">...</v>
    <v t="s">112053</v>
    <v>30</v>
    <v t="s">B42</v>
    <v t="s">S</v>
    <v>889</v>
    <v t="s">Johnston, Miss. Catherine Helen "Carrie"</v>
    <v>0</v>
    <v>3</v>
    <v t="s">female</v>
    <v t="e">#NUM!</v>
    <v t="s">...</v>
    <v t="s">W./C. 6607</v>
    <v>23.45</v>
    <v t="s"/>
    <v t="s">S</v>
    <v>892</v>
    <v t="s">Behr, Mr. Karl Howell</v>
    <v>1</v>
    <v>1</v>
    <v t="s">male</v>
    <v>26</v>
    <v t="s">...</v>
    <v t="s">111369</v>
    <v>30</v>
    <v t="s">C148</v>
    <v t="s">C</v>
    <v>891</v>
    <v t="s">Dooley, Mr. Patrick</v>
    <v>0</v>
    <v>3</v>
    <v t="s">male</v>
    <v>32</v>
    <v t="s">...</v>
    <v t="s">370376</v>
    <v>7.75</v>
    <v t="s"/>
    <v t="s">Q</v>
    <v>894</v>
  </a>
  <a r="13" c="12">
    <v t="s"/>
    <v t="s">Survived</v>
    <v t="s">Pclass</v>
    <v t="s">Sex</v>
    <v t="s">Age</v>
    <v t="s">SibSp</v>
    <v t="s">...</v>
    <v t="s">Ticket</v>
    <v t="s">Fare</v>
    <v t="s">Cabin</v>
    <v t="s">Embarked</v>
    <v t="s">new_col1</v>
    <v t="s">Name</v>
    <v t="s"/>
    <v t="s"/>
    <v t="s"/>
    <v t="s"/>
    <v t="s"/>
    <v t="s"/>
    <v t="s"/>
    <v t="s"/>
    <v t="s"/>
    <v t="s"/>
    <v t="s"/>
    <v t="s">Braund, Mr. Owen Harris</v>
    <v>0</v>
    <v>3</v>
    <v t="s">male</v>
    <v>22</v>
    <v>1</v>
    <v t="s">...</v>
    <v t="s">A/5 21171</v>
    <v>7.25</v>
    <v t="s"/>
    <v t="s">S</v>
    <v>4</v>
    <v t="s">Cumings, Mrs. John Bradley (Florence Briggs Thayer)</v>
    <v>1</v>
    <v>1</v>
    <v t="s">female</v>
    <v>38</v>
    <v>1</v>
    <v t="s">...</v>
    <v t="s">PC 17599</v>
    <v>71.283299999999997</v>
    <v t="s">C85</v>
    <v t="s">C</v>
    <v>3</v>
    <v t="s">Heikkinen, Miss. Laina</v>
    <v>1</v>
    <v>3</v>
    <v t="s">female</v>
    <v>26</v>
    <v>0</v>
    <v t="s">...</v>
    <v t="s">STON/O2. 3101282</v>
    <v>7.9249999999999998</v>
    <v t="s"/>
    <v t="s">S</v>
    <v>6</v>
    <v t="s">Allen, Mr. William Henry</v>
    <v>0</v>
    <v>3</v>
    <v t="s">male</v>
    <v>35</v>
    <v>0</v>
    <v t="s">...</v>
    <v t="s">373450</v>
    <v>8.0500000000000007</v>
    <v t="s"/>
    <v t="s">S</v>
    <v>8</v>
    <v t="s">Moran, Mr. James</v>
    <v>0</v>
    <v>3</v>
    <v t="s">male</v>
    <v t="s">manoj</v>
    <v>0</v>
    <v t="s">...</v>
    <v t="s">330877</v>
    <v>8.4582999999999995</v>
    <v t="s"/>
    <v t="s">Q</v>
    <v>9</v>
    <v t="s">...</v>
    <v t="s">...</v>
    <v t="s">...</v>
    <v t="s">...</v>
    <v t="s">...</v>
    <v t="s">...</v>
    <v t="s">...</v>
    <v t="s">...</v>
    <v t="s">...</v>
    <v t="s">...</v>
    <v t="s">...</v>
    <v t="s">...</v>
    <v t="s">Montvila, Rev. Juozas</v>
    <v>0</v>
    <v>2</v>
    <v t="s">male</v>
    <v>27</v>
    <v>0</v>
    <v t="s">...</v>
    <v t="s">211536</v>
    <v>13</v>
    <v t="s"/>
    <v t="s">S</v>
    <v>889</v>
    <v t="s">Graham, Miss. Margaret Edith</v>
    <v>1</v>
    <v>1</v>
    <v t="s">female</v>
    <v>19</v>
    <v>0</v>
    <v t="s">...</v>
    <v t="s">112053</v>
    <v>30</v>
    <v t="s">B42</v>
    <v t="s">S</v>
    <v>889</v>
    <v t="s">Johnston, Miss. Catherine Helen "Carrie"</v>
    <v>0</v>
    <v>3</v>
    <v t="s">female</v>
    <v t="s">manoj</v>
    <v>1</v>
    <v t="s">...</v>
    <v t="s">W./C. 6607</v>
    <v>23.45</v>
    <v t="s"/>
    <v t="s">S</v>
    <v>892</v>
    <v t="s">Behr, Mr. Karl Howell</v>
    <v>1</v>
    <v>1</v>
    <v t="s">male</v>
    <v>26</v>
    <v>0</v>
    <v t="s">...</v>
    <v t="s">111369</v>
    <v>30</v>
    <v t="s">C148</v>
    <v t="s">C</v>
    <v>891</v>
    <v t="s">Dooley, Mr. Patrick</v>
    <v>0</v>
    <v>3</v>
    <v t="s">male</v>
    <v>32</v>
    <v>0</v>
    <v t="s">...</v>
    <v t="s">370376</v>
    <v>7.75</v>
    <v t="s"/>
    <v t="s">Q</v>
    <v>894</v>
  </a>
</arrayData>
</file>

<file path=xl/richData/rdrichvalue.xml><?xml version="1.0" encoding="utf-8"?>
<rvData xmlns="http://schemas.microsoft.com/office/spreadsheetml/2017/richdata" count="156">
  <rv s="0">
    <v>0</v>
  </rv>
  <rv s="1">
    <v>DataFrame</v>
    <v>1</v>
    <v>0</v>
  </rv>
  <rv s="2">
    <v>&lt;class 'pandas.core.frame.DataFrame'&gt;</v>
    <v>DataFrame</v>
    <v xml:space="preserve">    id  location_id program_id         accepted_payments  \
0    1            1                                        
1    2            2                                        
2    3            3                                        
3    4      ...</v>
    <v>1</v>
  </rv>
  <rv s="0">
    <v>1</v>
  </rv>
  <rv s="1">
    <v>DataFrame</v>
    <v>3</v>
    <v>3</v>
  </rv>
  <rv s="2">
    <v>&lt;class 'pandas.core.frame.DataFrame'&gt;</v>
    <v>DataFrame</v>
    <v xml:space="preserve">   id  location_id program_id accepted_payments alternate_name  \
0   1            1                                               
1   2            2                                               
2   3            3                                    ...</v>
    <v>4</v>
  </rv>
  <rv s="0">
    <v>2</v>
  </rv>
  <rv s="1">
    <v>DataFrame</v>
    <v>3</v>
    <v>6</v>
  </rv>
  <rv s="2">
    <v>&lt;class 'pandas.core.frame.DataFrame'&gt;</v>
    <v>DataFrame</v>
    <v xml:space="preserve">    id  location_id program_id         accepted_payments  \
18  19           19                                        
19  20           20                                        
20  21           21                                        
21  22      ...</v>
    <v>7</v>
  </rv>
  <rv s="3">
    <v>&lt;class 'type'&gt;</v>
    <v>type</v>
    <v>&lt;class 'pandas.core.frame.DataFrame'&gt;</v>
  </rv>
  <rv s="0">
    <v>3</v>
  </rv>
  <rv s="1">
    <v>list</v>
    <v>5</v>
    <v>10</v>
  </rv>
  <rv s="2">
    <v>&lt;class 'list'&gt;</v>
    <v>list</v>
    <v>['id', 'location_id', 'program_id', 'accepted_payments', 'alternate_name', 'application_process', 'audience', 'description', 'eligibility', 'email', 'fees', 'funding_sources', 'interpretation_services', 'keywords', 'languages', 'name', 'required_docume...</v>
    <v>11</v>
  </rv>
  <rv s="0">
    <v>4</v>
  </rv>
  <rv s="1">
    <v>Series</v>
    <v>7</v>
    <v>13</v>
  </rv>
  <rv s="2">
    <v>&lt;class 'pandas.core.series.Series'&gt;</v>
    <v>Series</v>
    <v>0       active
1       active
2       active
3       active
4       active
5       active
6       active
7       active
8       active
9       active
10      active
11      active
12      active
13      active
14      active
15      active
16      acti...</v>
    <v>14</v>
  </rv>
  <rv s="3">
    <v>&lt;class 'type'&gt;</v>
    <v>type</v>
    <v>&lt;class 'pandas.core.series.Series'&gt;</v>
  </rv>
  <rv s="0">
    <v>5</v>
  </rv>
  <rv s="1">
    <v>list</v>
    <v>9</v>
    <v>17</v>
  </rv>
  <rv s="2">
    <v>&lt;class 'list'&gt;</v>
    <v>list</v>
    <v>['active', 'active', 'active', 'active', 'active', 'active', 'active', 'active', 'active', 'active', 'active', 'active', 'active', 'active', 'active', 'active', 'active', 'active', 'active', 'defunct', 'inactive', 'active', 'active']</v>
    <v>18</v>
  </rv>
  <rv s="3">
    <v>&lt;class 'types.GenericAlias'&gt;</v>
    <v>GenericAlias</v>
    <v>list[['status']]</v>
  </rv>
  <rv s="3">
    <v>&lt;class 'pandas.core.indexes.base.Index'&gt;</v>
    <v>Index</v>
    <v>Index(['id', 'location_id', 'program_id', 'accepted_payments',
       'alternate_name', 'application_process', 'audience', 'description',
       'eligibility', 'email', 'fees', 'funding_sources',
       'interpretation_services', 'keywords', 'languages...</v>
  </rv>
  <rv s="0">
    <v>6</v>
  </rv>
  <rv s="1">
    <v>DataFrame</v>
    <v>11</v>
    <v>22</v>
  </rv>
  <rv s="2">
    <v>&lt;class 'pandas.core.frame.DataFrame'&gt;</v>
    <v>DataFrame</v>
    <v xml:space="preserve">                    email                                           keywords  \
0                          ADULT PROTECTION AND CARE SERVICES, Meal Sites...   
1                          EMPLOYMENT/TRAINING SERVICES, Job Development,...   
2           ...</v>
    <v>23</v>
  </rv>
  <rv s="0">
    <v>7</v>
  </rv>
  <rv s="1">
    <v>Series</v>
    <v>13</v>
    <v>25</v>
  </rv>
  <rv s="2">
    <v>&lt;class 'pandas.core.series.Series'&gt;</v>
    <v>Series</v>
    <v>id                          int64
location_id                 int64
program_id                 object
accepted_payments          object
alternate_name             object
application_process        object
audience                   object
description   ...</v>
    <v>26</v>
  </rv>
  <rv s="4">
    <v>f490fff4d0e04a5dad623bce46419160</v>
    <v>&lt;urlopen error Tunnel connection failed: 400 Bad Request&gt;</v>
    <v>URLError</v>
    <v>18</v>
    <v>1</v>
  </rv>
  <rv s="0">
    <v>8</v>
  </rv>
  <rv s="1">
    <v>DataFrame</v>
    <v>15</v>
    <v>29</v>
  </rv>
  <rv s="2">
    <v>&lt;class 'pandas.core.frame.DataFrame'&gt;</v>
    <v>DataFrame</v>
    <v xml:space="preserve">     PassengerId  Survived  Pclass  \
0              1         0       3   
1              2         1       1   
2              3         1       3   
3              4         1       1   
4              5         0       3   
..           ...       ....</v>
    <v>30</v>
  </rv>
  <rv s="0">
    <v>9</v>
  </rv>
  <rv s="1">
    <v>DataFrame</v>
    <v>17</v>
    <v>32</v>
  </rv>
  <rv s="2">
    <v>&lt;class 'pandas.core.frame.DataFrame'&gt;</v>
    <v>DataFrame</v>
    <v xml:space="preserve">   PassengerId  Survived  Pclass  \
0            1         0       3   
1            2         1       1   
2            3         1       3   
3            4         1       1   
4            5         0       3   
                                   ...</v>
    <v>33</v>
  </rv>
  <rv s="3">
    <v>&lt;class 'pandas.core.indexes.base.Index'&gt;</v>
    <v>Index</v>
    <v>Index(['PassengerId', 'Survived', 'Pclass', 'Name', 'Sex', 'Age', 'SibSp',
       'Parch', 'Ticket', 'Fare', 'Cabin', 'Embarked'],
      dtype='object')</v>
  </rv>
  <rv s="0">
    <v>10</v>
  </rv>
  <rv s="1">
    <v>Series</v>
    <v>19</v>
    <v>36</v>
  </rv>
  <rv s="2">
    <v>&lt;class 'pandas.core.series.Series'&gt;</v>
    <v>Series</v>
    <v>0      0
1      1
2      1
3      1
4      0
      ..
886    0
887    1
888    0
889    1
890    0
Name: Survived, Length: 891, dtype: int64</v>
    <v>37</v>
  </rv>
  <rv s="0">
    <v>11</v>
  </rv>
  <rv s="1">
    <v>DataFrame</v>
    <v>21</v>
    <v>39</v>
  </rv>
  <rv s="2">
    <v>&lt;class 'pandas.core.frame.DataFrame'&gt;</v>
    <v>DataFrame</v>
    <v xml:space="preserve">     Survived  Pclass                                               Name
0           0       3                            Braund, Mr. Owen Harris
1           1       1  Cumings, Mrs. John Bradley (Florence Briggs Th...
2           1       3            ...</v>
    <v>40</v>
  </rv>
  <rv s="0">
    <v>12</v>
  </rv>
  <rv s="1">
    <v>DataFrame</v>
    <v>23</v>
    <v>42</v>
  </rv>
  <rv s="2">
    <v>&lt;class 'pandas.core.frame.DataFrame'&gt;</v>
    <v>DataFrame</v>
    <v xml:space="preserve">      Rk          Player Pos Age   Tm   G  GS    MP   FG  FGA  ...    FT%  \
0      1      Quincy Acy  PF  24  NYK  68  22  1287  152  331  ...  0.784   
1      2    Jordan Adams  SG  20  MEM  30   0   248   35   86  ...  0.609   
2      3    Steven Ad...</v>
    <v>43</v>
  </rv>
  <rv s="5">
    <fb>675</fb>
    <v>&lt;class 'int'&gt;</v>
    <v>int</v>
    <v>675</v>
    <v>675</v>
  </rv>
  <rv s="0">
    <v>13</v>
  </rv>
  <rv s="1">
    <v>DataFrame</v>
    <v>25</v>
    <v>46</v>
  </rv>
  <rv s="2">
    <v>&lt;class 'pandas.core.frame.DataFrame'&gt;</v>
    <v>DataFrame</v>
    <v xml:space="preserve">  Rk         Player Pos Age   Tm   G  GS    MP   FG  FGA  ...    FT%  ORB  \
0  1     Quincy Acy  PF  24  NYK  68  22  1287  152  331  ...  0.784   79   
1  2   Jordan Adams  SG  20  MEM  30   0   248   35   86  ...  0.609    9   
2  3   Steven Adams  ...</v>
    <v>47</v>
  </rv>
  <rv s="0">
    <v>14</v>
  </rv>
  <rv s="1">
    <v>DataFrame</v>
    <v>25</v>
    <v>49</v>
  </rv>
  <rv s="2">
    <v>&lt;class 'pandas.core.frame.DataFrame'&gt;</v>
    <v>DataFrame</v>
    <v xml:space="preserve">      Rk          Player Pos Age   Tm   G  GS    MP   FG  FGA  ...    FT%  \
670  490  Thaddeus Young  PF  26  TOT  76  68  2434  451  968  ...  0.655   
671  490  Thaddeus Young  PF  26  MIN  48  48  1605  289  641  ...  0.682   
672  490  Thaddeus Yo...</v>
    <v>50</v>
  </rv>
  <rv s="3">
    <v>&lt;class 'pandas.core.indexes.base.Index'&gt;</v>
    <v>Index</v>
    <v>Index(['Rk', 'Player', 'Pos', 'Age', 'Tm', 'G', 'GS', 'MP', 'FG', 'FGA', 'FG%',
       '3P', '3PA', '3P%', '2P', '2PA', '2P%', 'eFG%', 'FT', 'FTA', 'FT%',
       'ORB', 'DRB', 'TRB', 'AST', 'STL', 'BLK', 'TOV', 'PF', 'PTS'],
      dtype='object')</v>
  </rv>
  <rv s="0">
    <v>15</v>
  </rv>
  <rv s="1">
    <v>Series</v>
    <v>27</v>
    <v>53</v>
  </rv>
  <rv s="2">
    <v>&lt;class 'pandas.core.series.Series'&gt;</v>
    <v>Series</v>
    <v>Rk        object
Player    object
Pos       object
Age       object
Tm        object
G         object
GS        object
MP        object
FG        object
FGA       object
FG%       object
3P        object
3PA       object
3P%       object
2P        obje...</v>
    <v>54</v>
  </rv>
  <rv s="0">
    <v>16</v>
  </rv>
  <rv s="1">
    <v>DataFrame</v>
    <v>29</v>
    <v>56</v>
  </rv>
  <rv s="2">
    <v>&lt;class 'pandas.core.frame.DataFrame'&gt;</v>
    <v>DataFrame</v>
    <v xml:space="preserve">    Pos Age   Tm
0    PF  24  NYK
1    SG  20  MEM
2     C  21  OKC
3    PF  28  MIN
4    SG  29  TOT
..   ..  ..  ...
670  PF  26  TOT
671  PF  26  MIN
672  PF  26  BRK
673   C  22  CHO
674   C  25  BOS
[675 rows x 3 columns]</v>
    <v>57</v>
  </rv>
  <rv s="4">
    <v>6d8fa5375a5848919b68e6385fbe5137</v>
    <v>[Errno 13] Permission denied: 'players_data.csv'</v>
    <v>PermissionError</v>
    <v>18</v>
    <v>1</v>
  </rv>
  <rv s="0">
    <v>17</v>
  </rv>
  <rv s="1">
    <v>Series</v>
    <v>31</v>
    <v>60</v>
  </rv>
  <rv s="2">
    <v>&lt;class 'pandas.core.series.Series'&gt;</v>
    <v>Series</v>
    <v>PassengerId      int64
Survived         int64
Pclass           int64
Name            object
Sex             object
Age            float64
SibSp            int64
Parch            int64
Ticket          object
Fare           float64
Cabin           object...</v>
    <v>61</v>
  </rv>
  <rv s="0">
    <v>18</v>
  </rv>
  <rv s="1">
    <v>DataFrame</v>
    <v>33</v>
    <v>63</v>
  </rv>
  <rv s="2">
    <v>&lt;class 'pandas.core.frame.DataFrame'&gt;</v>
    <v>DataFrame</v>
    <v xml:space="preserve">       PassengerId    Survived      Pclass         Age       SibSp  \
count   891.000000  891.000000  891.000000  714.000000  891.000000   
mean    446.000000    0.383838    2.308642   29.699118    0.523008   
std     257.353842    0.486592    0.836071...</v>
    <v>64</v>
  </rv>
  <rv s="0">
    <v>19</v>
  </rv>
  <rv s="1">
    <v>DataFrame</v>
    <v>35</v>
    <v>66</v>
  </rv>
  <rv s="2">
    <v>&lt;class 'pandas.core.frame.DataFrame'&gt;</v>
    <v>DataFrame</v>
    <v xml:space="preserve">                                                  Name     Sex  \
0                              Braund, Mr. Owen Harris    male   
1    Cumings, Mrs. John Bradley (Florence Briggs Th...  female   
2                               Heikkinen, Miss. Laina...</v>
    <v>67</v>
  </rv>
  <rv s="0">
    <v>20</v>
  </rv>
  <rv s="1">
    <v>Series</v>
    <v>31</v>
    <v>69</v>
  </rv>
  <rv s="2">
    <v>&lt;class 'pandas.core.series.Series'&gt;</v>
    <v>Series</v>
    <v>PassengerId    False
Survived       False
Pclass         False
Name            True
Sex             True
Age            False
SibSp          False
Parch          False
Ticket          True
Fare           False
Cabin           True
Embarked        True
...</v>
    <v>70</v>
  </rv>
  <rv s="3">
    <v>&lt;class 'pandas.core.indexes.base.Index'&gt;</v>
    <v>Index</v>
    <v>Index(['Name', 'Sex', 'Ticket', 'Cabin', 'Embarked'], dtype='object')</v>
  </rv>
  <rv s="0">
    <v>21</v>
  </rv>
  <rv s="1">
    <v>DataFrame</v>
    <v>37</v>
    <v>73</v>
  </rv>
  <rv s="2">
    <v>&lt;class 'pandas.core.frame.DataFrame'&gt;</v>
    <v>DataFrame</v>
    <v xml:space="preserve">                           Name   Sex  Ticket Cabin Embarked
count                       891   891     891   891      891
unique                      891     2     681   148        4
top     Braund, Mr. Owen Harris  male  347082              S
freq    ...</v>
    <v>74</v>
  </rv>
  <rv s="0">
    <v>22</v>
  </rv>
  <rv s="1">
    <v>DataFrame</v>
    <v>39</v>
    <v>76</v>
  </rv>
  <rv s="2">
    <v>&lt;class 'pandas.core.frame.DataFrame'&gt;</v>
    <v>DataFrame</v>
    <v xml:space="preserve">      Age     Fare
0    22.0   7.2500
1    38.0  71.2833
2    26.0   7.9250
3    35.0  53.1000
4    35.0   8.0500
..    ...      ...
886  27.0  13.0000
887  19.0  30.0000
888   NaN  23.4500
889  26.0  30.0000
890  32.0   7.7500
[891 rows x 2 columns]</v>
    <v>77</v>
  </rv>
  <rv s="0">
    <v>23</v>
  </rv>
  <rv s="1">
    <v>DataFrame</v>
    <v>35</v>
    <v>79</v>
  </rv>
  <rv s="2">
    <v>&lt;class 'pandas.core.frame.DataFrame'&gt;</v>
    <v>DataFrame</v>
    <v xml:space="preserve">     PassengerId  Survived  Pclass  SibSp  Parch
0              1         0       3      1      0
1              2         1       1      1      0
2              3         1       3      0      0
3              4         1       1      1      0
4      ...</v>
    <v>80</v>
  </rv>
  <rv s="0">
    <v>24</v>
  </rv>
  <rv s="1">
    <v>DataFrame</v>
    <v>41</v>
    <v>82</v>
  </rv>
  <rv s="2">
    <v>&lt;class 'pandas.core.frame.DataFrame'&gt;</v>
    <v>DataFrame</v>
    <v xml:space="preserve">     Ticket Cabin
4    373450      
6     17463   E46
8    347742      
10  PP 9549    G6</v>
    <v>83</v>
  </rv>
  <rv s="6">
    <fb>0</fb>
    <v>42</v>
  </rv>
  <rv s="2">
    <fb>0</fb>
    <v>&lt;class 'NoneType'&gt;</v>
    <v>NoneType</v>
    <v>None</v>
    <v>85</v>
  </rv>
  <rv s="0">
    <v>25</v>
  </rv>
  <rv s="1">
    <v>DataFrame</v>
    <v>44</v>
    <v>87</v>
  </rv>
  <rv s="2">
    <v>&lt;class 'pandas.core.frame.DataFrame'&gt;</v>
    <v>DataFrame</v>
    <v xml:space="preserve">     PassengerId  Survived  Pclass  \
0              1         0       3   
1              2         1       1   
2              3         1       3   
3              4         1       1   
4              5         0       3   
..           ...       ....</v>
    <v>88</v>
  </rv>
  <rv s="3">
    <v>&lt;class 'pandas.core.arrays.categorical.Categorical'&gt;</v>
    <v>Categorical</v>
    <v>[3, 1, 3, 1, 3, ..., 2, 1, 3, 1, 3]
Length: 891
Categories (3, int64): [1, 2, 3]</v>
  </rv>
  <rv s="3">
    <v>&lt;class 'pandas.core.arrays.categorical.Categorical'&gt;</v>
    <v>Categorical</v>
    <v>[0, 1, 1, 1, 0, ..., 0, 1, 0, 1, 0]
Length: 891
Categories (2, int64): [0, 1]</v>
  </rv>
  <rv s="0">
    <v>26</v>
  </rv>
  <rv s="1">
    <v>ndarray</v>
    <v>46</v>
    <v>92</v>
  </rv>
  <rv s="2">
    <v>&lt;class 'numpy.ndarray'&gt;</v>
    <v>ndarray</v>
    <v>['' 'C85' 'C123' 'E46' 'G6' 'C103' 'D56' 'A6' 'C23 C25 C27' 'B78' 'D33'
 'B30' 'C52' 'B28' 'C83' 'F33' 'F G73' 'E31' 'A5' 'D10 D12' 'D26' 'C110'
 'B58 B60' 'E101' 'F E69' 'D47' 'B86' 'F2' 'C2' 'E33' 'B19' 'A7' 'C49'
 'F4' 'A32' 'B4' 'B80' 'A31' 'D36' '...</v>
    <v>93</v>
  </rv>
  <rv s="5">
    <fb>-316</fb>
    <v>&lt;class 'int'&gt;</v>
    <v>int</v>
    <v>-316</v>
    <v>-316</v>
  </rv>
  <rv s="0">
    <v>27</v>
  </rv>
  <rv s="1">
    <v>DataFrame</v>
    <v>48</v>
    <v>96</v>
  </rv>
  <rv s="2">
    <v>&lt;class 'pandas.core.frame.DataFrame'&gt;</v>
    <v>DataFrame</v>
    <v xml:space="preserve">     PassengerId  Survived  Pclass  \
0              1         0       3   
1              2         1       1   
2              3         1       3   
3              4         1       1   
4              5         0       3   
..           ...       ....</v>
    <v>97</v>
  </rv>
  <rv s="0">
    <v>28</v>
  </rv>
  <rv s="1">
    <v>DataFrame</v>
    <v>50</v>
    <v>99</v>
  </rv>
  <rv s="2">
    <v>&lt;class 'pandas.core.frame.DataFrame'&gt;</v>
    <v>DataFrame</v>
    <v xml:space="preserve">     PassengerId  Survived  Pclass  \
1              2         1       1   
3              4         1       1   
6              7         0       1   
23            24         1       1   
27            28         0       1   
..           ...       ....</v>
    <v>100</v>
  </rv>
  <rv s="0">
    <v>29</v>
  </rv>
  <rv s="1">
    <v>DataFrame</v>
    <v>52</v>
    <v>102</v>
  </rv>
  <rv s="2">
    <v>&lt;class 'pandas.core.frame.DataFrame'&gt;</v>
    <v>DataFrame</v>
    <v xml:space="preserve">     PassengerId  Survived  Pclass                              Name   Sex  \
179          180         0       3               Leonard, Mr. Lionel  male   
263          264         0       1             Harrison, Mr. William  male   
271          272  ...</v>
    <v>103</v>
  </rv>
  <rv s="0">
    <v>30</v>
  </rv>
  <rv s="1">
    <v>DataFrame</v>
    <v>54</v>
    <v>105</v>
  </rv>
  <rv s="2">
    <v>&lt;class 'pandas.core.frame.DataFrame'&gt;</v>
    <v>DataFrame</v>
    <v xml:space="preserve">     PassengerId  Survived  Pclass                            Name   Sex  \
0              1         0       3         Braund, Mr. Owen Harris  male   
4              5         0       3        Allen, Mr. William Henry  male   
5              6        ...</v>
    <v>106</v>
  </rv>
  <rv s="0">
    <v>31</v>
  </rv>
  <rv s="1">
    <v>DataFrame</v>
    <v>56</v>
    <v>108</v>
  </rv>
  <rv s="2">
    <v>&lt;class 'pandas.core.frame.DataFrame'&gt;</v>
    <v>DataFrame</v>
    <v xml:space="preserve">     PassengerId  Survived  Pclass  \
1              2         1       1   
2              3         1       3   
3              4         1       1   
8              9         1       3   
9             10         1       2   
..           ...       ....</v>
    <v>109</v>
  </rv>
  <rv s="0">
    <v>32</v>
  </rv>
  <rv s="1">
    <v>DataFrame</v>
    <v>58</v>
    <v>111</v>
  </rv>
  <rv s="2">
    <v>&lt;class 'pandas.core.frame.DataFrame'&gt;</v>
    <v>DataFrame</v>
    <v xml:space="preserve">     PassengerId  Survived  Pclass  \
1              2         1       1   
3              4         1       1   
6              7         0       1   
11            12         1       1   
23            24         1       1   
..           ...       ....</v>
    <v>112</v>
  </rv>
  <rv s="0">
    <v>33</v>
  </rv>
  <rv s="1">
    <v>DataFrame</v>
    <v>60</v>
    <v>114</v>
  </rv>
  <rv s="2">
    <v>&lt;class 'pandas.core.frame.DataFrame'&gt;</v>
    <v>DataFrame</v>
    <v xml:space="preserve">     PassengerId  Survived  Pclass  \
1              2         1       1   
2              3         1       3   
3              4         1       1   
8              9         1       3   
9             10         1       2   
..           ...       ....</v>
    <v>115</v>
  </rv>
  <rv s="0">
    <v>34</v>
  </rv>
  <rv s="1">
    <v>Series</v>
    <v>19</v>
    <v>117</v>
  </rv>
  <rv s="2">
    <v>&lt;class 'pandas.core.series.Series'&gt;</v>
    <v>Series</v>
    <v>0      False
1      False
2      False
3      False
4      False
       ...  
886    False
887    False
888    False
889    False
890    False
Name: Sex, Length: 891, dtype: bool</v>
    <v>118</v>
  </rv>
  <rv s="0">
    <v>35</v>
  </rv>
  <rv s="1">
    <v>Series</v>
    <v>19</v>
    <v>120</v>
  </rv>
  <rv s="2">
    <v>&lt;class 'pandas.core.series.Series'&gt;</v>
    <v>Series</v>
    <v>0      False
1       True
2      False
3       True
4      False
       ...  
886    False
887    False
888    False
889    False
890    False
Name: Fare, Length: 891, dtype: bool</v>
    <v>121</v>
  </rv>
  <rv s="0">
    <v>36</v>
  </rv>
  <rv s="1">
    <v>DataFrame</v>
    <v>62</v>
    <v>123</v>
  </rv>
  <rv s="2">
    <v>&lt;class 'pandas.core.frame.DataFrame'&gt;</v>
    <v>DataFrame</v>
    <v xml:space="preserve">     PassengerId  Survived  Pclass                                  Name  \
6              7         0       1               McCarthy, Mr. Timothy J   
23            24         1       1          Sloper, Mr. William Thompson   
27            28        ...</v>
    <v>124</v>
  </rv>
  <rv s="0">
    <v>37</v>
  </rv>
  <rv s="1">
    <v>Series</v>
    <v>64</v>
    <v>126</v>
  </rv>
  <rv s="2">
    <v>&lt;class 'pandas.core.series.Series'&gt;</v>
    <v>Series</v>
    <v>258                      Ward, Miss. Anna
679    Cardeza, Mr. Thomas Drake Martinez
737                Lesurer, Mr. Gustave J
Name: Name, dtype: object</v>
    <v>127</v>
  </rv>
  <rv s="0">
    <v>38</v>
  </rv>
  <rv s="1">
    <v>DataFrame</v>
    <v>66</v>
    <v>129</v>
  </rv>
  <rv s="2">
    <v>&lt;class 'pandas.core.frame.DataFrame'&gt;</v>
    <v>DataFrame</v>
    <v xml:space="preserve">     PassengerId  Survived  Pclass  \
0              1         0       3   
2              3         1       3   
4              5         0       3   
6              7         0       1   
8              9         1       3   
..           ...       ....</v>
    <v>130</v>
  </rv>
  <rv s="0">
    <v>39</v>
  </rv>
  <rv s="1">
    <v>DataFrame</v>
    <v>68</v>
    <v>132</v>
  </rv>
  <rv s="2">
    <v>&lt;class 'pandas.core.frame.DataFrame'&gt;</v>
    <v>DataFrame</v>
    <v xml:space="preserve">   PassengerId  Survived  Pclass
0            1         0       3
1            2         1       1</v>
    <v>133</v>
  </rv>
  <rv s="0">
    <v>40</v>
  </rv>
  <rv s="1">
    <v>DataFrame</v>
    <v>70</v>
    <v>135</v>
  </rv>
  <rv s="2">
    <v>&lt;class 'pandas.core.frame.DataFrame'&gt;</v>
    <v>DataFrame</v>
    <v xml:space="preserve">   PassengerId  Survived  Pclass
0            1         0       3
1            2         1       1
2            3         1       3</v>
    <v>136</v>
  </rv>
  <rv s="5">
    <fb>891</fb>
    <v>&lt;class 'int'&gt;</v>
    <v>int</v>
    <v>891</v>
    <v>891</v>
  </rv>
  <rv s="3">
    <v>&lt;class 'pandas.core.indexes.base.Index'&gt;</v>
    <v>Index</v>
    <v>Index(['PassengerId', 'Survived', 'Pclass', 'Name', 'Sex', 'Age', 'SibSp',
       'Parch', 'Ticket', 'Fare', 'Cabin', 'Embarked', 'new_col1'],
      dtype='object')</v>
  </rv>
  <rv s="0">
    <v>41</v>
  </rv>
  <rv s="1">
    <v>Series</v>
    <v>72</v>
    <v>140</v>
  </rv>
  <rv s="2">
    <v>&lt;class 'pandas.core.series.Series'&gt;</v>
    <v>Series</v>
    <v>0                              Braund, Mr. Owen Harris
1    Cumings, Mrs. John Bradley (Florence Briggs Th...
2                               Heikkinen, Miss. Laina
3         Futrelle, Mrs. Jacques Heath (Lily May Peel)
4                             Al...</v>
    <v>141</v>
  </rv>
  <rv s="7">
    <fb t="s">Braund, Mr. Owen Harris</fb>
    <v>&lt;class 'str'&gt;</v>
    <v>str</v>
    <v>Braund, Mr. Owen Harris</v>
    <v>Braund, Mr. Owen Harris</v>
  </rv>
  <rv s="0">
    <v>42</v>
  </rv>
  <rv s="1">
    <v>DataFrame</v>
    <v>74</v>
    <v>144</v>
  </rv>
  <rv s="2">
    <v>&lt;class 'pandas.core.frame.DataFrame'&gt;</v>
    <v>DataFrame</v>
    <v xml:space="preserve">     Survived  Pclass                                               Name  \
0           0       3                            Braund, Mr. Owen Harris   
1           1       1  Cumings, Mrs. John Bradley (Florence Briggs Th...   
2           1       3   ...</v>
    <v>145</v>
  </rv>
  <rv s="0">
    <v>43</v>
  </rv>
  <rv s="1">
    <v>DataFrame</v>
    <v>76</v>
    <v>147</v>
  </rv>
  <rv s="2">
    <v>&lt;class 'pandas.core.frame.DataFrame'&gt;</v>
    <v>DataFrame</v>
    <v xml:space="preserve">                                                    Survived  Pclass     Sex  \
Name                                                                           
Braund, Mr. Owen Harris                                    0       3    male   
Cumings, Mrs...</v>
    <v>148</v>
  </rv>
  <rv s="0">
    <v>44</v>
  </rv>
  <rv s="1">
    <v>DataFrame</v>
    <v>74</v>
    <v>150</v>
  </rv>
  <rv s="2">
    <v>&lt;class 'pandas.core.frame.DataFrame'&gt;</v>
    <v>DataFrame</v>
    <v xml:space="preserve">                                                  Name  Survived  Pclass  \
0                              Braund, Mr. Owen Harris         0       3   
1    Cumings, Mrs. John Bradley (Florence Briggs Th...         1       1   
2                       ...</v>
    <v>151</v>
  </rv>
  <rv s="0">
    <v>45</v>
  </rv>
  <rv s="1">
    <v>DataFrame</v>
    <v>76</v>
    <v>153</v>
  </rv>
  <rv s="2">
    <v>&lt;class 'pandas.core.frame.DataFrame'&gt;</v>
    <v>DataFrame</v>
    <v xml:space="preserve">                                                    Survived  Pclass     Sex  \
Name                                                                           
Braund, Mr. Owen Harris                                    0       3    male   
Cumings, Mrs...</v>
    <v>154</v>
  </rv>
</rvData>
</file>

<file path=xl/richData/rdrichvaluestructure.xml><?xml version="1.0" encoding="utf-8"?>
<rvStructures xmlns="http://schemas.microsoft.com/office/spreadsheetml/2017/richdata" count="8">
  <s t="_array">
    <k n="array" t="a"/>
  </s>
  <s t="_entity">
    <k n="_DisplayString" t="s"/>
    <k n="_ViewInfo" t="spb"/>
    <k n="arrayPreview" t="r"/>
  </s>
  <s t="_python">
    <k n="Python_type" t="s"/>
    <k n="Python_typeName" t="s"/>
    <k n="Python_str" t="s"/>
    <k n="preview" t="r"/>
  </s>
  <s t="_python">
    <k n="Python_type" t="s"/>
    <k n="Python_typeName" t="s"/>
    <k n="Python_str" t="s"/>
  </s>
  <s t="_error">
    <k n="correlationId" t="s"/>
    <k n="errorMessage" t="s"/>
    <k n="errorName" t="s"/>
    <k n="errorType" t="i"/>
    <k n="subType" t="i"/>
  </s>
  <s t="_python">
    <k n="Python_type" t="s"/>
    <k n="Python_typeName" t="s"/>
    <k n="Python_str" t="s"/>
    <k n="basicValue" t="i"/>
  </s>
  <s t="_formattednumber">
    <k n="_Format" t="spb"/>
  </s>
  <s t="_python">
    <k n="Python_type" t="s"/>
    <k n="Python_typeName" t="s"/>
    <k n="Python_str" t="s"/>
    <k n="basicValue" t="s"/>
  </s>
</rvStructures>
</file>

<file path=xl/richData/rdsupportingpropertybag.xml><?xml version="1.0" encoding="utf-8"?>
<supportingPropertyBags xmlns="http://schemas.microsoft.com/office/spreadsheetml/2017/richdata2">
  <spbData count="77">
    <spb s="0">
      <v>23</v>
      <v>22</v>
      <v>DataFrame</v>
      <v>arrayPreview</v>
      <v>1</v>
    </spb>
    <spb s="1">
      <v>0</v>
    </spb>
    <spb s="0">
      <v>5</v>
      <v>22</v>
      <v>DataFrame</v>
      <v>arrayPreview</v>
      <v>1</v>
    </spb>
    <spb s="1">
      <v>2</v>
    </spb>
    <spb s="2">
      <v>22</v>
      <v>1</v>
      <v>list</v>
      <v>arrayPreview</v>
    </spb>
    <spb s="1">
      <v>4</v>
    </spb>
    <spb s="0">
      <v>23</v>
      <v>1</v>
      <v>Series</v>
      <v>arrayPreview</v>
      <v>1</v>
    </spb>
    <spb s="1">
      <v>6</v>
    </spb>
    <spb s="2">
      <v>23</v>
      <v>1</v>
      <v>list</v>
      <v>arrayPreview</v>
    </spb>
    <spb s="1">
      <v>8</v>
    </spb>
    <spb s="0">
      <v>23</v>
      <v>3</v>
      <v>DataFrame</v>
      <v>arrayPreview</v>
      <v>1</v>
    </spb>
    <spb s="1">
      <v>10</v>
    </spb>
    <spb s="2">
      <v>22</v>
      <v>1</v>
      <v>Series</v>
      <v>arrayPreview</v>
    </spb>
    <spb s="1">
      <v>12</v>
    </spb>
    <spb s="0">
      <v>891</v>
      <v>12</v>
      <v>DataFrame</v>
      <v>arrayPreview</v>
      <v>1</v>
    </spb>
    <spb s="1">
      <v>14</v>
    </spb>
    <spb s="0">
      <v>5</v>
      <v>12</v>
      <v>DataFrame</v>
      <v>arrayPreview</v>
      <v>1</v>
    </spb>
    <spb s="1">
      <v>16</v>
    </spb>
    <spb s="0">
      <v>891</v>
      <v>1</v>
      <v>Series</v>
      <v>arrayPreview</v>
      <v>1</v>
    </spb>
    <spb s="1">
      <v>18</v>
    </spb>
    <spb s="0">
      <v>891</v>
      <v>3</v>
      <v>DataFrame</v>
      <v>arrayPreview</v>
      <v>1</v>
    </spb>
    <spb s="1">
      <v>20</v>
    </spb>
    <spb s="0">
      <v>675</v>
      <v>30</v>
      <v>DataFrame</v>
      <v>arrayPreview</v>
      <v>1</v>
    </spb>
    <spb s="1">
      <v>22</v>
    </spb>
    <spb s="0">
      <v>5</v>
      <v>30</v>
      <v>DataFrame</v>
      <v>arrayPreview</v>
      <v>1</v>
    </spb>
    <spb s="1">
      <v>24</v>
    </spb>
    <spb s="2">
      <v>30</v>
      <v>1</v>
      <v>Series</v>
      <v>arrayPreview</v>
    </spb>
    <spb s="1">
      <v>26</v>
    </spb>
    <spb s="0">
      <v>675</v>
      <v>3</v>
      <v>DataFrame</v>
      <v>arrayPreview</v>
      <v>1</v>
    </spb>
    <spb s="1">
      <v>28</v>
    </spb>
    <spb s="2">
      <v>12</v>
      <v>1</v>
      <v>Series</v>
      <v>arrayPreview</v>
    </spb>
    <spb s="1">
      <v>30</v>
    </spb>
    <spb s="0">
      <v>8</v>
      <v>7</v>
      <v>DataFrame</v>
      <v>arrayPreview</v>
      <v>1</v>
    </spb>
    <spb s="1">
      <v>32</v>
    </spb>
    <spb s="0">
      <v>891</v>
      <v>5</v>
      <v>DataFrame</v>
      <v>arrayPreview</v>
      <v>1</v>
    </spb>
    <spb s="1">
      <v>34</v>
    </spb>
    <spb s="0">
      <v>4</v>
      <v>5</v>
      <v>DataFrame</v>
      <v>arrayPreview</v>
      <v>1</v>
    </spb>
    <spb s="1">
      <v>36</v>
    </spb>
    <spb s="0">
      <v>891</v>
      <v>2</v>
      <v>DataFrame</v>
      <v>arrayPreview</v>
      <v>1</v>
    </spb>
    <spb s="1">
      <v>38</v>
    </spb>
    <spb s="0">
      <v>4</v>
      <v>2</v>
      <v>DataFrame</v>
      <v>arrayPreview</v>
      <v>1</v>
    </spb>
    <spb s="1">
      <v>40</v>
    </spb>
    <spb s="3">
      <v>1</v>
    </spb>
    <spb s="0">
      <v>891</v>
      <v>13</v>
      <v>DataFrame</v>
      <v>arrayPreview</v>
      <v>1</v>
    </spb>
    <spb s="1">
      <v>43</v>
    </spb>
    <spb s="2">
      <v>148</v>
      <v>1</v>
      <v>ndarray</v>
      <v>arrayPreview</v>
    </spb>
    <spb s="1">
      <v>45</v>
    </spb>
    <spb s="0">
      <v>575</v>
      <v>13</v>
      <v>DataFrame</v>
      <v>arrayPreview</v>
      <v>1</v>
    </spb>
    <spb s="1">
      <v>47</v>
    </spb>
    <spb s="0">
      <v>211</v>
      <v>13</v>
      <v>DataFrame</v>
      <v>arrayPreview</v>
      <v>1</v>
    </spb>
    <spb s="1">
      <v>49</v>
    </spb>
    <spb s="0">
      <v>15</v>
      <v>13</v>
      <v>DataFrame</v>
      <v>arrayPreview</v>
      <v>1</v>
    </spb>
    <spb s="1">
      <v>51</v>
    </spb>
    <spb s="0">
      <v>577</v>
      <v>13</v>
      <v>DataFrame</v>
      <v>arrayPreview</v>
      <v>1</v>
    </spb>
    <spb s="1">
      <v>53</v>
    </spb>
    <spb s="0">
      <v>314</v>
      <v>13</v>
      <v>DataFrame</v>
      <v>arrayPreview</v>
      <v>1</v>
    </spb>
    <spb s="1">
      <v>55</v>
    </spb>
    <spb s="0">
      <v>216</v>
      <v>13</v>
      <v>DataFrame</v>
      <v>arrayPreview</v>
      <v>1</v>
    </spb>
    <spb s="1">
      <v>57</v>
    </spb>
    <spb s="0">
      <v>342</v>
      <v>13</v>
      <v>DataFrame</v>
      <v>arrayPreview</v>
      <v>1</v>
    </spb>
    <spb s="1">
      <v>59</v>
    </spb>
    <spb s="0">
      <v>107</v>
      <v>13</v>
      <v>DataFrame</v>
      <v>arrayPreview</v>
      <v>1</v>
    </spb>
    <spb s="1">
      <v>61</v>
    </spb>
    <spb s="0">
      <v>3</v>
      <v>1</v>
      <v>Series</v>
      <v>arrayPreview</v>
      <v>1</v>
    </spb>
    <spb s="1">
      <v>63</v>
    </spb>
    <spb s="0">
      <v>446</v>
      <v>13</v>
      <v>DataFrame</v>
      <v>arrayPreview</v>
      <v>1</v>
    </spb>
    <spb s="1">
      <v>65</v>
    </spb>
    <spb s="0">
      <v>2</v>
      <v>3</v>
      <v>DataFrame</v>
      <v>arrayPreview</v>
      <v>1</v>
    </spb>
    <spb s="1">
      <v>67</v>
    </spb>
    <spb s="0">
      <v>3</v>
      <v>3</v>
      <v>DataFrame</v>
      <v>arrayPreview</v>
      <v>1</v>
    </spb>
    <spb s="1">
      <v>69</v>
    </spb>
    <spb s="0">
      <v>10</v>
      <v>1</v>
      <v>Series</v>
      <v>arrayPreview</v>
      <v>1</v>
    </spb>
    <spb s="1">
      <v>71</v>
    </spb>
    <spb s="0">
      <v>890</v>
      <v>12</v>
      <v>DataFrame</v>
      <v>arrayPreview</v>
      <v>1</v>
    </spb>
    <spb s="1">
      <v>73</v>
    </spb>
    <spb s="0">
      <v>890</v>
      <v>11</v>
      <v>DataFrame</v>
      <v>arrayPreview</v>
      <v>1</v>
    </spb>
    <spb s="1">
      <v>75</v>
    </spb>
  </spbData>
</supportingPropertyBags>
</file>

<file path=xl/richData/rdsupportingpropertybagstructure.xml><?xml version="1.0" encoding="utf-8"?>
<spbStructures xmlns="http://schemas.microsoft.com/office/spreadsheetml/2017/richdata2" count="4">
  <s>
    <k n="drw" t="i"/>
    <k n="dcol" t="i"/>
    <k n="name" t="s"/>
    <k n="array" t="s"/>
    <k n="headers" t="b"/>
  </s>
  <s>
    <k n="ArrayCardInfo" t="spb"/>
  </s>
  <s>
    <k n="drw" t="i"/>
    <k n="dcol" t="i"/>
    <k n="name" t="s"/>
    <k n="array"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ichProperties>
  <richStyles>
    <rSty dxfid="0">
      <rpv i="0">0;-0;* "None"</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7B3E7D-CADB-4333-AF68-B869DFEFCB28}" name="services" displayName="services" ref="A1:V24" tableType="queryTable" totalsRowShown="0">
  <autoFilter ref="A1:V24" xr:uid="{767B3E7D-CADB-4333-AF68-B869DFEFCB28}"/>
  <tableColumns count="22">
    <tableColumn id="1" xr3:uid="{EF927405-17B5-4B01-8AEA-9C9C30475B09}" uniqueName="1" name="id" queryTableFieldId="1"/>
    <tableColumn id="2" xr3:uid="{8C3E846C-AB32-493F-A027-5769C009EF6C}" uniqueName="2" name="location_id" queryTableFieldId="2"/>
    <tableColumn id="3" xr3:uid="{FE2191EF-196A-4597-87BF-86FC28FE4AB5}" uniqueName="3" name="program_id" queryTableFieldId="3" dataDxfId="24"/>
    <tableColumn id="4" xr3:uid="{CEEF19B9-A577-48C2-8E78-64CF9927F481}" uniqueName="4" name="accepted_payments" queryTableFieldId="4" dataDxfId="23"/>
    <tableColumn id="5" xr3:uid="{A2D3A11F-5627-4FB4-BC2E-BDDF6938424B}" uniqueName="5" name="alternate_name" queryTableFieldId="5" dataDxfId="22"/>
    <tableColumn id="6" xr3:uid="{AA505270-F66F-46AA-90ED-EBF1FD0EFCA8}" uniqueName="6" name="application_process" queryTableFieldId="6" dataDxfId="21"/>
    <tableColumn id="7" xr3:uid="{16B9E588-7E0F-4B5E-AE58-C31D8802632A}" uniqueName="7" name="audience" queryTableFieldId="7" dataDxfId="20"/>
    <tableColumn id="8" xr3:uid="{8551B934-7F4C-46D0-B386-94A1090B975D}" uniqueName="8" name="description" queryTableFieldId="8" dataDxfId="19"/>
    <tableColumn id="9" xr3:uid="{B4E64FDF-0A65-4314-B6F0-76B2BFA5B092}" uniqueName="9" name="eligibility" queryTableFieldId="9" dataDxfId="18"/>
    <tableColumn id="10" xr3:uid="{AC6F6D45-01B7-4F75-923D-845969BE597D}" uniqueName="10" name="email" queryTableFieldId="10" dataDxfId="17"/>
    <tableColumn id="11" xr3:uid="{059C312F-00AD-404A-AC0F-ADAE2D703090}" uniqueName="11" name="fees" queryTableFieldId="11" dataDxfId="16"/>
    <tableColumn id="12" xr3:uid="{0B538BF3-CE63-46E3-84F2-4A9536AC9B22}" uniqueName="12" name="funding_sources" queryTableFieldId="12" dataDxfId="15"/>
    <tableColumn id="13" xr3:uid="{E8899676-1B3A-49E4-AA71-323615872488}" uniqueName="13" name="interpretation_services" queryTableFieldId="13" dataDxfId="14"/>
    <tableColumn id="14" xr3:uid="{8822DB78-DC14-400A-B059-F4FB3E642A1B}" uniqueName="14" name="keywords" queryTableFieldId="14" dataDxfId="13"/>
    <tableColumn id="15" xr3:uid="{41D1F18B-3FEC-4B61-B526-0B2F32B5962A}" uniqueName="15" name="languages" queryTableFieldId="15" dataDxfId="12"/>
    <tableColumn id="16" xr3:uid="{B7F54571-7786-4CC8-92A7-42D10EA249F0}" uniqueName="16" name="name" queryTableFieldId="16" dataDxfId="11"/>
    <tableColumn id="17" xr3:uid="{E73A0AEF-1325-4968-9CC5-AD2F894C4871}" uniqueName="17" name="required_documents" queryTableFieldId="17" dataDxfId="10"/>
    <tableColumn id="18" xr3:uid="{87C5A23A-E697-48B8-8D53-88D733D1AA4F}" uniqueName="18" name="service_areas" queryTableFieldId="18" dataDxfId="9"/>
    <tableColumn id="19" xr3:uid="{17CAE3CE-C6CE-4C68-9532-0C95FCEE0772}" uniqueName="19" name="status" queryTableFieldId="19" dataDxfId="8"/>
    <tableColumn id="20" xr3:uid="{9EC82DA8-B995-4736-9EDA-6A6978F47D0F}" uniqueName="20" name="wait_time" queryTableFieldId="20" dataDxfId="7"/>
    <tableColumn id="21" xr3:uid="{9212D3B5-4AD0-40A6-B10B-DFA321242B22}" uniqueName="21" name="website" queryTableFieldId="21" dataDxfId="6"/>
    <tableColumn id="22" xr3:uid="{C2BA90B5-9EC0-4C13-9B45-BC8DD7469976}" uniqueName="22" name="taxonomy_ids" queryTableFieldId="22" data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F084CA-B61F-435E-9C47-0CE84CED58A6}" name="Titanic_Dataset" displayName="Titanic_Dataset" ref="A1:L892" tableType="queryTable" totalsRowShown="0">
  <autoFilter ref="A1:L892" xr:uid="{36F084CA-B61F-435E-9C47-0CE84CED58A6}"/>
  <tableColumns count="12">
    <tableColumn id="1" xr3:uid="{ADC91BD9-0769-435B-B65E-ADA6C1B8160A}" uniqueName="1" name="PassengerId" queryTableFieldId="1"/>
    <tableColumn id="2" xr3:uid="{512347F0-D9AB-47F5-A47F-A2B4F82C15A3}" uniqueName="2" name="Survived" queryTableFieldId="2"/>
    <tableColumn id="3" xr3:uid="{B6DB8B3B-CDED-4657-818C-32C33DD8C475}" uniqueName="3" name="Pclass" queryTableFieldId="3"/>
    <tableColumn id="4" xr3:uid="{96043520-D587-413A-A52B-E3FBB76D9A71}" uniqueName="4" name="Name" queryTableFieldId="4" dataDxfId="4"/>
    <tableColumn id="5" xr3:uid="{45AF1C8F-AE5C-4E8C-813A-982A76A1174F}" uniqueName="5" name="Sex" queryTableFieldId="5" dataDxfId="3"/>
    <tableColumn id="6" xr3:uid="{015657B2-4A2F-49CB-8354-32176D6E5952}" uniqueName="6" name="Age" queryTableFieldId="6"/>
    <tableColumn id="7" xr3:uid="{14A7450E-467C-4120-8D5A-50B4DE91A98E}" uniqueName="7" name="SibSp" queryTableFieldId="7"/>
    <tableColumn id="8" xr3:uid="{26606191-8EE5-4872-A1E4-F4ADEFDDD442}" uniqueName="8" name="Parch" queryTableFieldId="8"/>
    <tableColumn id="9" xr3:uid="{C2679ABD-D88E-4106-82D1-BCB6581ACD1F}" uniqueName="9" name="Ticket" queryTableFieldId="9" dataDxfId="2"/>
    <tableColumn id="10" xr3:uid="{02212FA3-E9FB-4186-A9CF-4ACA03C3B2D7}" uniqueName="10" name="Fare" queryTableFieldId="10"/>
    <tableColumn id="11" xr3:uid="{E361FE8A-6B7F-4414-8922-92910CFECAD3}" uniqueName="11" name="Cabin" queryTableFieldId="11" dataDxfId="1"/>
    <tableColumn id="12" xr3:uid="{C736944D-6C66-43F9-BB54-3BD15656F060}" uniqueName="12" name="Embarked" queryTableFieldId="1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24"/>
  <sheetViews>
    <sheetView tabSelected="1" topLeftCell="R1" workbookViewId="0">
      <selection activeCell="A8" sqref="A8"/>
    </sheetView>
  </sheetViews>
  <sheetFormatPr defaultRowHeight="14.4" x14ac:dyDescent="0.3"/>
  <cols>
    <col min="1" max="1" width="4.77734375" bestFit="1" customWidth="1"/>
    <col min="2" max="2" width="12.5546875" bestFit="1" customWidth="1"/>
    <col min="3" max="3" width="13" bestFit="1" customWidth="1"/>
    <col min="4" max="4" width="20.88671875" bestFit="1" customWidth="1"/>
    <col min="5" max="5" width="19.33203125" bestFit="1" customWidth="1"/>
    <col min="6" max="9" width="80.88671875" bestFit="1" customWidth="1"/>
    <col min="10" max="10" width="20.88671875" bestFit="1" customWidth="1"/>
    <col min="11" max="11" width="80.88671875" bestFit="1" customWidth="1"/>
    <col min="12" max="12" width="35.21875" bestFit="1" customWidth="1"/>
    <col min="13" max="14" width="80.88671875" bestFit="1" customWidth="1"/>
    <col min="15" max="15" width="11.6640625" bestFit="1" customWidth="1"/>
    <col min="16" max="16" width="31.33203125" bestFit="1" customWidth="1"/>
    <col min="17" max="17" width="34.77734375" bestFit="1" customWidth="1"/>
    <col min="18" max="18" width="31.77734375" bestFit="1" customWidth="1"/>
    <col min="19" max="19" width="8.21875" bestFit="1" customWidth="1"/>
    <col min="20" max="20" width="80.88671875" bestFit="1" customWidth="1"/>
    <col min="21" max="21" width="22.6640625" bestFit="1" customWidth="1"/>
    <col min="22" max="22" width="34.77734375" bestFit="1" customWidth="1"/>
  </cols>
  <sheetData>
    <row r="1" spans="1:22"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3">
      <c r="A2">
        <v>1</v>
      </c>
      <c r="B2">
        <v>1</v>
      </c>
      <c r="C2" t="s">
        <v>22</v>
      </c>
      <c r="D2" t="s">
        <v>22</v>
      </c>
      <c r="E2" t="s">
        <v>22</v>
      </c>
      <c r="F2" t="s">
        <v>23</v>
      </c>
      <c r="G2" t="s">
        <v>24</v>
      </c>
      <c r="H2" t="s">
        <v>25</v>
      </c>
      <c r="I2" t="s">
        <v>26</v>
      </c>
      <c r="J2" t="s">
        <v>22</v>
      </c>
      <c r="K2" t="s">
        <v>27</v>
      </c>
      <c r="L2" t="s">
        <v>28</v>
      </c>
      <c r="M2" t="s">
        <v>22</v>
      </c>
      <c r="N2" t="s">
        <v>29</v>
      </c>
      <c r="O2" t="s">
        <v>22</v>
      </c>
      <c r="P2" t="s">
        <v>30</v>
      </c>
      <c r="Q2" t="s">
        <v>22</v>
      </c>
      <c r="R2" t="s">
        <v>31</v>
      </c>
      <c r="S2" t="s">
        <v>32</v>
      </c>
      <c r="T2" t="s">
        <v>33</v>
      </c>
      <c r="U2" t="s">
        <v>22</v>
      </c>
      <c r="V2" t="s">
        <v>22</v>
      </c>
    </row>
    <row r="3" spans="1:22" x14ac:dyDescent="0.3">
      <c r="A3">
        <v>2</v>
      </c>
      <c r="B3">
        <v>2</v>
      </c>
      <c r="C3" t="s">
        <v>22</v>
      </c>
      <c r="D3" t="s">
        <v>22</v>
      </c>
      <c r="E3" t="s">
        <v>22</v>
      </c>
      <c r="F3" t="s">
        <v>34</v>
      </c>
      <c r="G3" t="s">
        <v>35</v>
      </c>
      <c r="H3" t="s">
        <v>36</v>
      </c>
      <c r="I3" t="s">
        <v>37</v>
      </c>
      <c r="J3" t="s">
        <v>22</v>
      </c>
      <c r="K3" t="s">
        <v>38</v>
      </c>
      <c r="L3" t="s">
        <v>39</v>
      </c>
      <c r="M3" t="s">
        <v>22</v>
      </c>
      <c r="N3" t="s">
        <v>40</v>
      </c>
      <c r="O3" t="s">
        <v>22</v>
      </c>
      <c r="P3" t="s">
        <v>41</v>
      </c>
      <c r="Q3" t="s">
        <v>22</v>
      </c>
      <c r="R3" t="s">
        <v>42</v>
      </c>
      <c r="S3" t="s">
        <v>32</v>
      </c>
      <c r="T3" t="s">
        <v>43</v>
      </c>
      <c r="U3" t="s">
        <v>22</v>
      </c>
      <c r="V3" t="s">
        <v>22</v>
      </c>
    </row>
    <row r="4" spans="1:22" x14ac:dyDescent="0.3">
      <c r="A4">
        <v>3</v>
      </c>
      <c r="B4">
        <v>3</v>
      </c>
      <c r="C4" t="s">
        <v>22</v>
      </c>
      <c r="D4" t="s">
        <v>22</v>
      </c>
      <c r="E4" t="s">
        <v>22</v>
      </c>
      <c r="F4" t="s">
        <v>44</v>
      </c>
      <c r="G4" t="s">
        <v>45</v>
      </c>
      <c r="H4" t="s">
        <v>46</v>
      </c>
      <c r="I4" t="s">
        <v>47</v>
      </c>
      <c r="J4" t="s">
        <v>22</v>
      </c>
      <c r="K4" t="s">
        <v>48</v>
      </c>
      <c r="L4" t="s">
        <v>49</v>
      </c>
      <c r="M4" t="s">
        <v>22</v>
      </c>
      <c r="N4" t="s">
        <v>50</v>
      </c>
      <c r="O4" t="s">
        <v>22</v>
      </c>
      <c r="P4" t="s">
        <v>51</v>
      </c>
      <c r="Q4" t="s">
        <v>22</v>
      </c>
      <c r="R4" t="s">
        <v>42</v>
      </c>
      <c r="S4" t="s">
        <v>32</v>
      </c>
      <c r="T4" t="s">
        <v>43</v>
      </c>
      <c r="U4" t="s">
        <v>22</v>
      </c>
      <c r="V4" t="s">
        <v>22</v>
      </c>
    </row>
    <row r="5" spans="1:22" x14ac:dyDescent="0.3">
      <c r="A5">
        <v>4</v>
      </c>
      <c r="B5">
        <v>4</v>
      </c>
      <c r="C5" t="s">
        <v>22</v>
      </c>
      <c r="D5" t="s">
        <v>22</v>
      </c>
      <c r="E5" t="s">
        <v>22</v>
      </c>
      <c r="F5" t="s">
        <v>52</v>
      </c>
      <c r="G5" t="s">
        <v>53</v>
      </c>
      <c r="H5" t="s">
        <v>54</v>
      </c>
      <c r="I5" t="s">
        <v>55</v>
      </c>
      <c r="J5" t="s">
        <v>22</v>
      </c>
      <c r="K5" t="s">
        <v>56</v>
      </c>
      <c r="L5" t="s">
        <v>49</v>
      </c>
      <c r="M5" t="s">
        <v>22</v>
      </c>
      <c r="N5" t="s">
        <v>57</v>
      </c>
      <c r="O5" t="s">
        <v>22</v>
      </c>
      <c r="P5" t="s">
        <v>58</v>
      </c>
      <c r="Q5" t="s">
        <v>22</v>
      </c>
      <c r="R5" t="s">
        <v>42</v>
      </c>
      <c r="S5" t="s">
        <v>32</v>
      </c>
      <c r="T5" t="s">
        <v>33</v>
      </c>
      <c r="U5" t="s">
        <v>22</v>
      </c>
      <c r="V5" t="s">
        <v>22</v>
      </c>
    </row>
    <row r="6" spans="1:22" x14ac:dyDescent="0.3">
      <c r="A6">
        <v>5</v>
      </c>
      <c r="B6">
        <v>5</v>
      </c>
      <c r="C6" t="s">
        <v>22</v>
      </c>
      <c r="D6" t="s">
        <v>22</v>
      </c>
      <c r="E6" t="s">
        <v>22</v>
      </c>
      <c r="F6" t="s">
        <v>59</v>
      </c>
      <c r="G6" t="s">
        <v>60</v>
      </c>
      <c r="H6" t="s">
        <v>61</v>
      </c>
      <c r="I6" t="s">
        <v>62</v>
      </c>
      <c r="J6" t="s">
        <v>22</v>
      </c>
      <c r="K6" t="s">
        <v>63</v>
      </c>
      <c r="L6" t="s">
        <v>64</v>
      </c>
      <c r="M6" t="s">
        <v>22</v>
      </c>
      <c r="N6" t="s">
        <v>65</v>
      </c>
      <c r="O6" t="s">
        <v>22</v>
      </c>
      <c r="P6" t="s">
        <v>66</v>
      </c>
      <c r="Q6" t="s">
        <v>22</v>
      </c>
      <c r="R6" t="s">
        <v>42</v>
      </c>
      <c r="S6" t="s">
        <v>32</v>
      </c>
      <c r="T6" t="s">
        <v>22</v>
      </c>
      <c r="U6" t="s">
        <v>22</v>
      </c>
      <c r="V6" t="s">
        <v>22</v>
      </c>
    </row>
    <row r="7" spans="1:22" x14ac:dyDescent="0.3">
      <c r="A7">
        <v>6</v>
      </c>
      <c r="B7">
        <v>6</v>
      </c>
      <c r="C7" t="s">
        <v>22</v>
      </c>
      <c r="D7" t="s">
        <v>22</v>
      </c>
      <c r="E7" t="s">
        <v>22</v>
      </c>
      <c r="F7" t="s">
        <v>67</v>
      </c>
      <c r="G7" t="s">
        <v>68</v>
      </c>
      <c r="H7" t="s">
        <v>69</v>
      </c>
      <c r="I7" t="s">
        <v>55</v>
      </c>
      <c r="J7" t="s">
        <v>22</v>
      </c>
      <c r="K7" t="s">
        <v>70</v>
      </c>
      <c r="L7" t="s">
        <v>71</v>
      </c>
      <c r="M7" t="s">
        <v>22</v>
      </c>
      <c r="N7" t="s">
        <v>72</v>
      </c>
      <c r="O7" t="s">
        <v>22</v>
      </c>
      <c r="P7" t="s">
        <v>73</v>
      </c>
      <c r="Q7" t="s">
        <v>22</v>
      </c>
      <c r="R7" t="s">
        <v>42</v>
      </c>
      <c r="S7" t="s">
        <v>32</v>
      </c>
      <c r="T7" t="s">
        <v>33</v>
      </c>
      <c r="U7" t="s">
        <v>22</v>
      </c>
      <c r="V7" t="s">
        <v>22</v>
      </c>
    </row>
    <row r="8" spans="1:22" x14ac:dyDescent="0.3">
      <c r="A8">
        <v>7</v>
      </c>
      <c r="B8">
        <v>7</v>
      </c>
      <c r="C8" t="s">
        <v>22</v>
      </c>
      <c r="D8" t="s">
        <v>22</v>
      </c>
      <c r="E8" t="s">
        <v>22</v>
      </c>
      <c r="F8" t="s">
        <v>74</v>
      </c>
      <c r="G8" t="s">
        <v>75</v>
      </c>
      <c r="H8" t="s">
        <v>76</v>
      </c>
      <c r="I8" t="s">
        <v>77</v>
      </c>
      <c r="J8" t="s">
        <v>22</v>
      </c>
      <c r="K8" t="s">
        <v>78</v>
      </c>
      <c r="L8" t="s">
        <v>79</v>
      </c>
      <c r="M8" t="s">
        <v>22</v>
      </c>
      <c r="N8" t="s">
        <v>80</v>
      </c>
      <c r="O8" t="s">
        <v>22</v>
      </c>
      <c r="P8" t="s">
        <v>81</v>
      </c>
      <c r="Q8" t="s">
        <v>22</v>
      </c>
      <c r="R8" t="s">
        <v>82</v>
      </c>
      <c r="S8" t="s">
        <v>32</v>
      </c>
      <c r="T8" t="s">
        <v>33</v>
      </c>
      <c r="U8" t="s">
        <v>22</v>
      </c>
      <c r="V8" t="s">
        <v>22</v>
      </c>
    </row>
    <row r="9" spans="1:22" x14ac:dyDescent="0.3">
      <c r="A9">
        <v>8</v>
      </c>
      <c r="B9">
        <v>8</v>
      </c>
      <c r="C9" t="s">
        <v>22</v>
      </c>
      <c r="D9" t="s">
        <v>22</v>
      </c>
      <c r="E9" t="s">
        <v>22</v>
      </c>
      <c r="F9" t="s">
        <v>52</v>
      </c>
      <c r="G9" t="s">
        <v>83</v>
      </c>
      <c r="H9" t="s">
        <v>84</v>
      </c>
      <c r="I9" t="s">
        <v>85</v>
      </c>
      <c r="J9" t="s">
        <v>22</v>
      </c>
      <c r="K9" t="s">
        <v>86</v>
      </c>
      <c r="L9" t="s">
        <v>87</v>
      </c>
      <c r="M9" t="s">
        <v>22</v>
      </c>
      <c r="N9" t="s">
        <v>88</v>
      </c>
      <c r="O9" t="s">
        <v>22</v>
      </c>
      <c r="P9" t="s">
        <v>89</v>
      </c>
      <c r="Q9" t="s">
        <v>22</v>
      </c>
      <c r="R9" t="s">
        <v>90</v>
      </c>
      <c r="S9" t="s">
        <v>32</v>
      </c>
      <c r="T9" t="s">
        <v>33</v>
      </c>
      <c r="U9" t="s">
        <v>22</v>
      </c>
      <c r="V9" t="s">
        <v>22</v>
      </c>
    </row>
    <row r="10" spans="1:22" x14ac:dyDescent="0.3">
      <c r="A10">
        <v>9</v>
      </c>
      <c r="B10">
        <v>9</v>
      </c>
      <c r="C10" t="s">
        <v>22</v>
      </c>
      <c r="D10" t="s">
        <v>22</v>
      </c>
      <c r="E10" t="s">
        <v>22</v>
      </c>
      <c r="F10" t="s">
        <v>91</v>
      </c>
      <c r="G10" t="s">
        <v>92</v>
      </c>
      <c r="H10" t="s">
        <v>93</v>
      </c>
      <c r="I10" t="s">
        <v>94</v>
      </c>
      <c r="J10" t="s">
        <v>22</v>
      </c>
      <c r="K10" t="s">
        <v>48</v>
      </c>
      <c r="L10" t="s">
        <v>95</v>
      </c>
      <c r="M10" t="s">
        <v>22</v>
      </c>
      <c r="N10" t="s">
        <v>96</v>
      </c>
      <c r="O10" t="s">
        <v>22</v>
      </c>
      <c r="P10" t="s">
        <v>97</v>
      </c>
      <c r="Q10" t="s">
        <v>22</v>
      </c>
      <c r="R10" t="s">
        <v>42</v>
      </c>
      <c r="S10" t="s">
        <v>32</v>
      </c>
      <c r="T10" t="s">
        <v>33</v>
      </c>
      <c r="U10" t="s">
        <v>22</v>
      </c>
      <c r="V10" t="s">
        <v>22</v>
      </c>
    </row>
    <row r="11" spans="1:22" x14ac:dyDescent="0.3">
      <c r="A11">
        <v>10</v>
      </c>
      <c r="B11">
        <v>10</v>
      </c>
      <c r="C11" t="s">
        <v>22</v>
      </c>
      <c r="D11" t="s">
        <v>22</v>
      </c>
      <c r="E11" t="s">
        <v>22</v>
      </c>
      <c r="F11" t="s">
        <v>98</v>
      </c>
      <c r="G11" t="s">
        <v>22</v>
      </c>
      <c r="H11" t="s">
        <v>99</v>
      </c>
      <c r="I11" t="s">
        <v>100</v>
      </c>
      <c r="J11" t="s">
        <v>22</v>
      </c>
      <c r="K11" t="s">
        <v>48</v>
      </c>
      <c r="L11" t="s">
        <v>101</v>
      </c>
      <c r="M11" t="s">
        <v>22</v>
      </c>
      <c r="N11" t="s">
        <v>96</v>
      </c>
      <c r="O11" t="s">
        <v>22</v>
      </c>
      <c r="P11" t="s">
        <v>102</v>
      </c>
      <c r="Q11" t="s">
        <v>22</v>
      </c>
      <c r="R11" t="s">
        <v>42</v>
      </c>
      <c r="S11" t="s">
        <v>32</v>
      </c>
      <c r="T11" t="s">
        <v>33</v>
      </c>
      <c r="U11" t="s">
        <v>22</v>
      </c>
      <c r="V11" t="s">
        <v>22</v>
      </c>
    </row>
    <row r="12" spans="1:22" x14ac:dyDescent="0.3">
      <c r="A12">
        <v>11</v>
      </c>
      <c r="B12">
        <v>11</v>
      </c>
      <c r="C12" t="s">
        <v>22</v>
      </c>
      <c r="D12" t="s">
        <v>22</v>
      </c>
      <c r="E12" t="s">
        <v>22</v>
      </c>
      <c r="F12" t="s">
        <v>103</v>
      </c>
      <c r="G12" t="s">
        <v>22</v>
      </c>
      <c r="H12" t="s">
        <v>104</v>
      </c>
      <c r="I12" t="s">
        <v>105</v>
      </c>
      <c r="J12" t="s">
        <v>22</v>
      </c>
      <c r="K12" t="s">
        <v>48</v>
      </c>
      <c r="L12" t="s">
        <v>101</v>
      </c>
      <c r="M12" t="s">
        <v>22</v>
      </c>
      <c r="N12" t="s">
        <v>96</v>
      </c>
      <c r="O12" t="s">
        <v>22</v>
      </c>
      <c r="P12" t="s">
        <v>106</v>
      </c>
      <c r="Q12" t="s">
        <v>22</v>
      </c>
      <c r="R12" t="s">
        <v>42</v>
      </c>
      <c r="S12" t="s">
        <v>32</v>
      </c>
      <c r="T12" t="s">
        <v>33</v>
      </c>
      <c r="U12" t="s">
        <v>22</v>
      </c>
      <c r="V12" t="s">
        <v>22</v>
      </c>
    </row>
    <row r="13" spans="1:22" x14ac:dyDescent="0.3">
      <c r="A13">
        <v>12</v>
      </c>
      <c r="B13">
        <v>12</v>
      </c>
      <c r="C13" t="s">
        <v>22</v>
      </c>
      <c r="D13" t="s">
        <v>22</v>
      </c>
      <c r="E13" t="s">
        <v>22</v>
      </c>
      <c r="F13" t="s">
        <v>107</v>
      </c>
      <c r="G13" t="s">
        <v>108</v>
      </c>
      <c r="H13" t="s">
        <v>109</v>
      </c>
      <c r="I13" t="s">
        <v>110</v>
      </c>
      <c r="J13" t="s">
        <v>22</v>
      </c>
      <c r="K13" t="s">
        <v>48</v>
      </c>
      <c r="L13" t="s">
        <v>111</v>
      </c>
      <c r="M13" t="s">
        <v>22</v>
      </c>
      <c r="N13" t="s">
        <v>112</v>
      </c>
      <c r="O13" t="s">
        <v>22</v>
      </c>
      <c r="P13" t="s">
        <v>113</v>
      </c>
      <c r="Q13" t="s">
        <v>22</v>
      </c>
      <c r="R13" t="s">
        <v>114</v>
      </c>
      <c r="S13" t="s">
        <v>32</v>
      </c>
      <c r="T13" t="s">
        <v>115</v>
      </c>
      <c r="U13" t="s">
        <v>22</v>
      </c>
      <c r="V13" t="s">
        <v>22</v>
      </c>
    </row>
    <row r="14" spans="1:22" x14ac:dyDescent="0.3">
      <c r="A14">
        <v>13</v>
      </c>
      <c r="B14">
        <v>13</v>
      </c>
      <c r="C14" t="s">
        <v>22</v>
      </c>
      <c r="D14" t="s">
        <v>22</v>
      </c>
      <c r="E14" t="s">
        <v>22</v>
      </c>
      <c r="F14" t="s">
        <v>103</v>
      </c>
      <c r="G14" t="s">
        <v>22</v>
      </c>
      <c r="H14" t="s">
        <v>116</v>
      </c>
      <c r="I14" t="s">
        <v>94</v>
      </c>
      <c r="J14" t="s">
        <v>22</v>
      </c>
      <c r="K14" t="s">
        <v>48</v>
      </c>
      <c r="L14" t="s">
        <v>101</v>
      </c>
      <c r="M14" t="s">
        <v>22</v>
      </c>
      <c r="N14" t="s">
        <v>96</v>
      </c>
      <c r="O14" t="s">
        <v>22</v>
      </c>
      <c r="P14" t="s">
        <v>117</v>
      </c>
      <c r="Q14" t="s">
        <v>22</v>
      </c>
      <c r="R14" t="s">
        <v>42</v>
      </c>
      <c r="S14" t="s">
        <v>32</v>
      </c>
      <c r="T14" t="s">
        <v>33</v>
      </c>
      <c r="U14" t="s">
        <v>22</v>
      </c>
      <c r="V14" t="s">
        <v>22</v>
      </c>
    </row>
    <row r="15" spans="1:22" x14ac:dyDescent="0.3">
      <c r="A15">
        <v>14</v>
      </c>
      <c r="B15">
        <v>14</v>
      </c>
      <c r="C15" t="s">
        <v>22</v>
      </c>
      <c r="D15" t="s">
        <v>22</v>
      </c>
      <c r="E15" t="s">
        <v>22</v>
      </c>
      <c r="F15" t="s">
        <v>118</v>
      </c>
      <c r="G15" t="s">
        <v>119</v>
      </c>
      <c r="H15" t="s">
        <v>120</v>
      </c>
      <c r="I15" t="s">
        <v>121</v>
      </c>
      <c r="J15" t="s">
        <v>22</v>
      </c>
      <c r="K15" t="s">
        <v>48</v>
      </c>
      <c r="L15" t="s">
        <v>122</v>
      </c>
      <c r="M15" t="s">
        <v>22</v>
      </c>
      <c r="N15" t="s">
        <v>123</v>
      </c>
      <c r="O15" t="s">
        <v>22</v>
      </c>
      <c r="P15" t="s">
        <v>124</v>
      </c>
      <c r="Q15" t="s">
        <v>22</v>
      </c>
      <c r="R15" t="s">
        <v>82</v>
      </c>
      <c r="S15" t="s">
        <v>32</v>
      </c>
      <c r="T15" t="s">
        <v>125</v>
      </c>
      <c r="U15" t="s">
        <v>22</v>
      </c>
      <c r="V15" t="s">
        <v>22</v>
      </c>
    </row>
    <row r="16" spans="1:22" x14ac:dyDescent="0.3">
      <c r="A16">
        <v>15</v>
      </c>
      <c r="B16">
        <v>15</v>
      </c>
      <c r="C16" t="s">
        <v>22</v>
      </c>
      <c r="D16" t="s">
        <v>22</v>
      </c>
      <c r="E16" t="s">
        <v>22</v>
      </c>
      <c r="F16" t="s">
        <v>126</v>
      </c>
      <c r="G16" t="s">
        <v>127</v>
      </c>
      <c r="H16" t="s">
        <v>128</v>
      </c>
      <c r="I16" t="s">
        <v>129</v>
      </c>
      <c r="J16" t="s">
        <v>22</v>
      </c>
      <c r="K16" t="s">
        <v>48</v>
      </c>
      <c r="L16" t="s">
        <v>130</v>
      </c>
      <c r="M16" t="s">
        <v>22</v>
      </c>
      <c r="N16" t="s">
        <v>131</v>
      </c>
      <c r="O16" t="s">
        <v>22</v>
      </c>
      <c r="P16" t="s">
        <v>132</v>
      </c>
      <c r="Q16" t="s">
        <v>22</v>
      </c>
      <c r="R16" t="s">
        <v>133</v>
      </c>
      <c r="S16" t="s">
        <v>32</v>
      </c>
      <c r="T16" t="s">
        <v>134</v>
      </c>
      <c r="U16" t="s">
        <v>22</v>
      </c>
      <c r="V16" t="s">
        <v>22</v>
      </c>
    </row>
    <row r="17" spans="1:22" x14ac:dyDescent="0.3">
      <c r="A17">
        <v>16</v>
      </c>
      <c r="B17">
        <v>16</v>
      </c>
      <c r="C17" t="s">
        <v>22</v>
      </c>
      <c r="D17" t="s">
        <v>22</v>
      </c>
      <c r="E17" t="s">
        <v>22</v>
      </c>
      <c r="F17" t="s">
        <v>135</v>
      </c>
      <c r="G17" t="s">
        <v>22</v>
      </c>
      <c r="H17" t="s">
        <v>136</v>
      </c>
      <c r="I17" t="s">
        <v>137</v>
      </c>
      <c r="J17" t="s">
        <v>22</v>
      </c>
      <c r="K17" t="s">
        <v>138</v>
      </c>
      <c r="L17" t="s">
        <v>79</v>
      </c>
      <c r="M17" t="s">
        <v>22</v>
      </c>
      <c r="N17" t="s">
        <v>139</v>
      </c>
      <c r="O17" t="s">
        <v>22</v>
      </c>
      <c r="P17" t="s">
        <v>140</v>
      </c>
      <c r="Q17" t="s">
        <v>22</v>
      </c>
      <c r="R17" t="s">
        <v>22</v>
      </c>
      <c r="S17" t="s">
        <v>32</v>
      </c>
      <c r="T17" t="s">
        <v>33</v>
      </c>
      <c r="U17" t="s">
        <v>22</v>
      </c>
      <c r="V17" t="s">
        <v>22</v>
      </c>
    </row>
    <row r="18" spans="1:22" x14ac:dyDescent="0.3">
      <c r="A18">
        <v>17</v>
      </c>
      <c r="B18">
        <v>17</v>
      </c>
      <c r="C18" t="s">
        <v>22</v>
      </c>
      <c r="D18" t="s">
        <v>22</v>
      </c>
      <c r="E18" t="s">
        <v>22</v>
      </c>
      <c r="F18" t="s">
        <v>141</v>
      </c>
      <c r="G18" t="s">
        <v>22</v>
      </c>
      <c r="H18" t="s">
        <v>142</v>
      </c>
      <c r="I18" t="s">
        <v>143</v>
      </c>
      <c r="J18" t="s">
        <v>22</v>
      </c>
      <c r="K18" t="s">
        <v>48</v>
      </c>
      <c r="L18" t="s">
        <v>144</v>
      </c>
      <c r="M18" t="s">
        <v>22</v>
      </c>
      <c r="N18" t="s">
        <v>145</v>
      </c>
      <c r="O18" t="s">
        <v>22</v>
      </c>
      <c r="P18" t="s">
        <v>146</v>
      </c>
      <c r="Q18" t="s">
        <v>22</v>
      </c>
      <c r="R18" t="s">
        <v>147</v>
      </c>
      <c r="S18" t="s">
        <v>32</v>
      </c>
      <c r="T18" t="s">
        <v>22</v>
      </c>
      <c r="U18" t="s">
        <v>22</v>
      </c>
      <c r="V18" t="s">
        <v>22</v>
      </c>
    </row>
    <row r="19" spans="1:22" x14ac:dyDescent="0.3">
      <c r="A19">
        <v>18</v>
      </c>
      <c r="B19">
        <v>18</v>
      </c>
      <c r="C19" t="s">
        <v>22</v>
      </c>
      <c r="D19" t="s">
        <v>22</v>
      </c>
      <c r="E19" t="s">
        <v>22</v>
      </c>
      <c r="F19" t="s">
        <v>148</v>
      </c>
      <c r="G19" t="s">
        <v>22</v>
      </c>
      <c r="H19" t="s">
        <v>149</v>
      </c>
      <c r="I19" t="s">
        <v>150</v>
      </c>
      <c r="J19" t="s">
        <v>22</v>
      </c>
      <c r="K19" t="s">
        <v>48</v>
      </c>
      <c r="L19" t="s">
        <v>122</v>
      </c>
      <c r="M19" t="s">
        <v>22</v>
      </c>
      <c r="N19" t="s">
        <v>151</v>
      </c>
      <c r="O19" t="s">
        <v>22</v>
      </c>
      <c r="P19" t="s">
        <v>152</v>
      </c>
      <c r="Q19" t="s">
        <v>22</v>
      </c>
      <c r="R19" t="s">
        <v>153</v>
      </c>
      <c r="S19" t="s">
        <v>32</v>
      </c>
      <c r="T19" t="s">
        <v>43</v>
      </c>
      <c r="U19" t="s">
        <v>22</v>
      </c>
      <c r="V19" t="s">
        <v>22</v>
      </c>
    </row>
    <row r="20" spans="1:22" x14ac:dyDescent="0.3">
      <c r="A20">
        <v>19</v>
      </c>
      <c r="B20">
        <v>19</v>
      </c>
      <c r="C20" t="s">
        <v>22</v>
      </c>
      <c r="D20" t="s">
        <v>22</v>
      </c>
      <c r="E20" t="s">
        <v>22</v>
      </c>
      <c r="F20" t="s">
        <v>154</v>
      </c>
      <c r="G20" t="s">
        <v>22</v>
      </c>
      <c r="H20" t="s">
        <v>155</v>
      </c>
      <c r="I20" t="s">
        <v>150</v>
      </c>
      <c r="J20" t="s">
        <v>22</v>
      </c>
      <c r="K20" t="s">
        <v>48</v>
      </c>
      <c r="L20" t="s">
        <v>122</v>
      </c>
      <c r="M20" t="s">
        <v>22</v>
      </c>
      <c r="N20" t="s">
        <v>156</v>
      </c>
      <c r="O20" t="s">
        <v>22</v>
      </c>
      <c r="P20" t="s">
        <v>157</v>
      </c>
      <c r="Q20" t="s">
        <v>22</v>
      </c>
      <c r="R20" t="s">
        <v>158</v>
      </c>
      <c r="S20" t="s">
        <v>32</v>
      </c>
      <c r="T20" t="s">
        <v>43</v>
      </c>
      <c r="U20" t="s">
        <v>22</v>
      </c>
      <c r="V20" t="s">
        <v>22</v>
      </c>
    </row>
    <row r="21" spans="1:22" x14ac:dyDescent="0.3">
      <c r="A21">
        <v>20</v>
      </c>
      <c r="B21">
        <v>20</v>
      </c>
      <c r="C21" t="s">
        <v>22</v>
      </c>
      <c r="D21" t="s">
        <v>22</v>
      </c>
      <c r="E21" t="s">
        <v>22</v>
      </c>
      <c r="F21" t="s">
        <v>159</v>
      </c>
      <c r="G21" t="s">
        <v>22</v>
      </c>
      <c r="H21" t="s">
        <v>160</v>
      </c>
      <c r="I21" t="s">
        <v>22</v>
      </c>
      <c r="J21" t="s">
        <v>22</v>
      </c>
      <c r="K21" t="s">
        <v>22</v>
      </c>
      <c r="L21" t="s">
        <v>22</v>
      </c>
      <c r="M21" t="s">
        <v>22</v>
      </c>
      <c r="N21" t="s">
        <v>22</v>
      </c>
      <c r="O21" t="s">
        <v>22</v>
      </c>
      <c r="P21" t="s">
        <v>161</v>
      </c>
      <c r="Q21" t="s">
        <v>22</v>
      </c>
      <c r="R21" t="s">
        <v>22</v>
      </c>
      <c r="S21" t="s">
        <v>162</v>
      </c>
      <c r="T21" t="s">
        <v>22</v>
      </c>
      <c r="U21" t="s">
        <v>22</v>
      </c>
      <c r="V21" t="s">
        <v>22</v>
      </c>
    </row>
    <row r="22" spans="1:22" x14ac:dyDescent="0.3">
      <c r="A22">
        <v>21</v>
      </c>
      <c r="B22">
        <v>21</v>
      </c>
      <c r="C22" t="s">
        <v>22</v>
      </c>
      <c r="D22" t="s">
        <v>22</v>
      </c>
      <c r="E22" t="s">
        <v>22</v>
      </c>
      <c r="F22" t="s">
        <v>163</v>
      </c>
      <c r="G22" t="s">
        <v>22</v>
      </c>
      <c r="H22" t="s">
        <v>164</v>
      </c>
      <c r="I22" t="s">
        <v>22</v>
      </c>
      <c r="J22" t="s">
        <v>22</v>
      </c>
      <c r="K22" t="s">
        <v>22</v>
      </c>
      <c r="L22" t="s">
        <v>22</v>
      </c>
      <c r="M22" t="s">
        <v>22</v>
      </c>
      <c r="N22" t="s">
        <v>22</v>
      </c>
      <c r="O22" t="s">
        <v>22</v>
      </c>
      <c r="P22" t="s">
        <v>165</v>
      </c>
      <c r="Q22" t="s">
        <v>22</v>
      </c>
      <c r="R22" t="s">
        <v>42</v>
      </c>
      <c r="S22" t="s">
        <v>166</v>
      </c>
      <c r="T22" t="s">
        <v>22</v>
      </c>
      <c r="U22" t="s">
        <v>22</v>
      </c>
      <c r="V22" t="s">
        <v>22</v>
      </c>
    </row>
    <row r="23" spans="1:22" x14ac:dyDescent="0.3">
      <c r="A23">
        <v>22</v>
      </c>
      <c r="B23">
        <v>22</v>
      </c>
      <c r="C23" t="s">
        <v>22</v>
      </c>
      <c r="D23" t="s">
        <v>167</v>
      </c>
      <c r="E23" t="s">
        <v>168</v>
      </c>
      <c r="F23" t="s">
        <v>169</v>
      </c>
      <c r="G23" t="s">
        <v>170</v>
      </c>
      <c r="H23" t="s">
        <v>171</v>
      </c>
      <c r="I23" t="s">
        <v>55</v>
      </c>
      <c r="J23" t="s">
        <v>172</v>
      </c>
      <c r="K23" t="s">
        <v>173</v>
      </c>
      <c r="L23" t="s">
        <v>174</v>
      </c>
      <c r="M23" t="s">
        <v>175</v>
      </c>
      <c r="N23" t="s">
        <v>176</v>
      </c>
      <c r="O23" t="s">
        <v>177</v>
      </c>
      <c r="P23" t="s">
        <v>178</v>
      </c>
      <c r="Q23" t="s">
        <v>179</v>
      </c>
      <c r="R23" t="s">
        <v>133</v>
      </c>
      <c r="S23" t="s">
        <v>32</v>
      </c>
      <c r="T23" t="s">
        <v>180</v>
      </c>
      <c r="U23" t="s">
        <v>181</v>
      </c>
      <c r="V23" t="s">
        <v>182</v>
      </c>
    </row>
    <row r="24" spans="1:22" x14ac:dyDescent="0.3">
      <c r="A24">
        <v>23</v>
      </c>
      <c r="B24">
        <v>22</v>
      </c>
      <c r="C24" t="s">
        <v>22</v>
      </c>
      <c r="D24" t="s">
        <v>22</v>
      </c>
      <c r="E24" t="s">
        <v>22</v>
      </c>
      <c r="F24" t="s">
        <v>169</v>
      </c>
      <c r="G24" t="s">
        <v>183</v>
      </c>
      <c r="H24" t="s">
        <v>184</v>
      </c>
      <c r="I24" t="s">
        <v>55</v>
      </c>
      <c r="J24" t="s">
        <v>22</v>
      </c>
      <c r="K24" t="s">
        <v>173</v>
      </c>
      <c r="L24" t="s">
        <v>174</v>
      </c>
      <c r="M24" t="s">
        <v>22</v>
      </c>
      <c r="N24" t="s">
        <v>185</v>
      </c>
      <c r="O24" t="s">
        <v>22</v>
      </c>
      <c r="P24" t="s">
        <v>186</v>
      </c>
      <c r="Q24" t="s">
        <v>22</v>
      </c>
      <c r="R24" t="s">
        <v>187</v>
      </c>
      <c r="S24" t="s">
        <v>32</v>
      </c>
      <c r="T24" t="s">
        <v>188</v>
      </c>
      <c r="U24" t="s">
        <v>181</v>
      </c>
      <c r="V24" t="s">
        <v>22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FFC9-93A1-49F1-BF3F-9B0D256D84F0}">
  <sheetPr codeName="Sheet2"/>
  <dimension ref="A1:L892"/>
  <sheetViews>
    <sheetView topLeftCell="C1" workbookViewId="0">
      <selection activeCell="J10" sqref="J10"/>
    </sheetView>
  </sheetViews>
  <sheetFormatPr defaultRowHeight="14.4" x14ac:dyDescent="0.3"/>
  <cols>
    <col min="1" max="1" width="13.33203125" bestFit="1" customWidth="1"/>
    <col min="2" max="2" width="10.5546875" bestFit="1" customWidth="1"/>
    <col min="3" max="3" width="8.21875" bestFit="1" customWidth="1"/>
    <col min="4" max="4" width="68.88671875" bestFit="1" customWidth="1"/>
    <col min="5" max="5" width="6.6640625" bestFit="1" customWidth="1"/>
    <col min="6" max="6" width="6.44140625" bestFit="1" customWidth="1"/>
    <col min="7" max="7" width="7.88671875" bestFit="1" customWidth="1"/>
    <col min="8" max="8" width="8" bestFit="1" customWidth="1"/>
    <col min="9" max="9" width="19.109375" bestFit="1" customWidth="1"/>
    <col min="10" max="10" width="9" bestFit="1" customWidth="1"/>
    <col min="11" max="11" width="14.88671875" bestFit="1" customWidth="1"/>
    <col min="12" max="12" width="11.77734375" bestFit="1" customWidth="1"/>
  </cols>
  <sheetData>
    <row r="1" spans="1:12" x14ac:dyDescent="0.3">
      <c r="A1" t="s">
        <v>193</v>
      </c>
      <c r="B1" t="s">
        <v>194</v>
      </c>
      <c r="C1" t="s">
        <v>195</v>
      </c>
      <c r="D1" t="s">
        <v>196</v>
      </c>
      <c r="E1" t="s">
        <v>197</v>
      </c>
      <c r="F1" t="s">
        <v>198</v>
      </c>
      <c r="G1" t="s">
        <v>199</v>
      </c>
      <c r="H1" t="s">
        <v>200</v>
      </c>
      <c r="I1" t="s">
        <v>201</v>
      </c>
      <c r="J1" t="s">
        <v>202</v>
      </c>
      <c r="K1" t="s">
        <v>203</v>
      </c>
      <c r="L1" t="s">
        <v>204</v>
      </c>
    </row>
    <row r="2" spans="1:12" x14ac:dyDescent="0.3">
      <c r="A2">
        <v>1</v>
      </c>
      <c r="B2">
        <v>0</v>
      </c>
      <c r="C2">
        <v>3</v>
      </c>
      <c r="D2" t="s">
        <v>205</v>
      </c>
      <c r="E2" t="s">
        <v>206</v>
      </c>
      <c r="F2">
        <v>22</v>
      </c>
      <c r="G2">
        <v>1</v>
      </c>
      <c r="H2">
        <v>0</v>
      </c>
      <c r="I2" t="s">
        <v>207</v>
      </c>
      <c r="J2">
        <v>7.25</v>
      </c>
      <c r="K2" t="s">
        <v>22</v>
      </c>
      <c r="L2" t="s">
        <v>208</v>
      </c>
    </row>
    <row r="3" spans="1:12" x14ac:dyDescent="0.3">
      <c r="A3">
        <v>2</v>
      </c>
      <c r="B3">
        <v>1</v>
      </c>
      <c r="C3">
        <v>1</v>
      </c>
      <c r="D3" t="s">
        <v>209</v>
      </c>
      <c r="E3" t="s">
        <v>210</v>
      </c>
      <c r="F3">
        <v>38</v>
      </c>
      <c r="G3">
        <v>1</v>
      </c>
      <c r="H3">
        <v>0</v>
      </c>
      <c r="I3" t="s">
        <v>211</v>
      </c>
      <c r="J3">
        <v>71.283299999999997</v>
      </c>
      <c r="K3" t="s">
        <v>212</v>
      </c>
      <c r="L3" t="s">
        <v>213</v>
      </c>
    </row>
    <row r="4" spans="1:12" x14ac:dyDescent="0.3">
      <c r="A4">
        <v>3</v>
      </c>
      <c r="B4">
        <v>1</v>
      </c>
      <c r="C4">
        <v>3</v>
      </c>
      <c r="D4" t="s">
        <v>214</v>
      </c>
      <c r="E4" t="s">
        <v>210</v>
      </c>
      <c r="F4">
        <v>26</v>
      </c>
      <c r="G4">
        <v>0</v>
      </c>
      <c r="H4">
        <v>0</v>
      </c>
      <c r="I4" t="s">
        <v>215</v>
      </c>
      <c r="J4">
        <v>7.9249999999999998</v>
      </c>
      <c r="K4" t="s">
        <v>22</v>
      </c>
      <c r="L4" t="s">
        <v>208</v>
      </c>
    </row>
    <row r="5" spans="1:12" x14ac:dyDescent="0.3">
      <c r="A5">
        <v>4</v>
      </c>
      <c r="B5">
        <v>1</v>
      </c>
      <c r="C5">
        <v>1</v>
      </c>
      <c r="D5" t="s">
        <v>216</v>
      </c>
      <c r="E5" t="s">
        <v>210</v>
      </c>
      <c r="F5">
        <v>35</v>
      </c>
      <c r="G5">
        <v>1</v>
      </c>
      <c r="H5">
        <v>0</v>
      </c>
      <c r="I5" t="s">
        <v>217</v>
      </c>
      <c r="J5">
        <v>53.1</v>
      </c>
      <c r="K5" t="s">
        <v>218</v>
      </c>
      <c r="L5" t="s">
        <v>208</v>
      </c>
    </row>
    <row r="6" spans="1:12" x14ac:dyDescent="0.3">
      <c r="A6">
        <v>5</v>
      </c>
      <c r="B6">
        <v>0</v>
      </c>
      <c r="C6">
        <v>3</v>
      </c>
      <c r="D6" t="s">
        <v>219</v>
      </c>
      <c r="E6" t="s">
        <v>206</v>
      </c>
      <c r="F6">
        <v>35</v>
      </c>
      <c r="G6">
        <v>0</v>
      </c>
      <c r="H6">
        <v>0</v>
      </c>
      <c r="I6" t="s">
        <v>220</v>
      </c>
      <c r="J6">
        <v>8.0500000000000007</v>
      </c>
      <c r="K6" t="s">
        <v>22</v>
      </c>
      <c r="L6" t="s">
        <v>208</v>
      </c>
    </row>
    <row r="7" spans="1:12" x14ac:dyDescent="0.3">
      <c r="A7">
        <v>6</v>
      </c>
      <c r="B7">
        <v>0</v>
      </c>
      <c r="C7">
        <v>3</v>
      </c>
      <c r="D7" t="s">
        <v>221</v>
      </c>
      <c r="E7" t="s">
        <v>206</v>
      </c>
      <c r="G7">
        <v>0</v>
      </c>
      <c r="H7">
        <v>0</v>
      </c>
      <c r="I7" t="s">
        <v>222</v>
      </c>
      <c r="J7">
        <v>8.4582999999999995</v>
      </c>
      <c r="K7" t="s">
        <v>22</v>
      </c>
      <c r="L7" t="s">
        <v>223</v>
      </c>
    </row>
    <row r="8" spans="1:12" x14ac:dyDescent="0.3">
      <c r="A8">
        <v>7</v>
      </c>
      <c r="B8">
        <v>0</v>
      </c>
      <c r="C8">
        <v>1</v>
      </c>
      <c r="D8" t="s">
        <v>224</v>
      </c>
      <c r="E8" t="s">
        <v>206</v>
      </c>
      <c r="F8">
        <v>54</v>
      </c>
      <c r="G8">
        <v>0</v>
      </c>
      <c r="H8">
        <v>0</v>
      </c>
      <c r="I8" t="s">
        <v>225</v>
      </c>
      <c r="J8">
        <v>51.862499999999997</v>
      </c>
      <c r="K8" t="s">
        <v>226</v>
      </c>
      <c r="L8" t="s">
        <v>208</v>
      </c>
    </row>
    <row r="9" spans="1:12" x14ac:dyDescent="0.3">
      <c r="A9">
        <v>8</v>
      </c>
      <c r="B9">
        <v>0</v>
      </c>
      <c r="C9">
        <v>3</v>
      </c>
      <c r="D9" t="s">
        <v>227</v>
      </c>
      <c r="E9" t="s">
        <v>206</v>
      </c>
      <c r="F9">
        <v>2</v>
      </c>
      <c r="G9">
        <v>3</v>
      </c>
      <c r="H9">
        <v>1</v>
      </c>
      <c r="I9" t="s">
        <v>228</v>
      </c>
      <c r="J9">
        <v>21.074999999999999</v>
      </c>
      <c r="K9" t="s">
        <v>22</v>
      </c>
      <c r="L9" t="s">
        <v>208</v>
      </c>
    </row>
    <row r="10" spans="1:12" x14ac:dyDescent="0.3">
      <c r="A10">
        <v>9</v>
      </c>
      <c r="B10">
        <v>1</v>
      </c>
      <c r="C10">
        <v>3</v>
      </c>
      <c r="D10" t="s">
        <v>229</v>
      </c>
      <c r="E10" t="s">
        <v>210</v>
      </c>
      <c r="F10">
        <v>27</v>
      </c>
      <c r="G10">
        <v>0</v>
      </c>
      <c r="H10">
        <v>2</v>
      </c>
      <c r="I10" t="s">
        <v>230</v>
      </c>
      <c r="J10">
        <v>11.1333</v>
      </c>
      <c r="K10" t="s">
        <v>22</v>
      </c>
      <c r="L10" t="s">
        <v>208</v>
      </c>
    </row>
    <row r="11" spans="1:12" x14ac:dyDescent="0.3">
      <c r="A11">
        <v>10</v>
      </c>
      <c r="B11">
        <v>1</v>
      </c>
      <c r="C11">
        <v>2</v>
      </c>
      <c r="D11" t="s">
        <v>231</v>
      </c>
      <c r="E11" t="s">
        <v>210</v>
      </c>
      <c r="F11">
        <v>14</v>
      </c>
      <c r="G11">
        <v>1</v>
      </c>
      <c r="H11">
        <v>0</v>
      </c>
      <c r="I11" t="s">
        <v>232</v>
      </c>
      <c r="J11">
        <v>30.070799999999998</v>
      </c>
      <c r="K11" t="s">
        <v>22</v>
      </c>
      <c r="L11" t="s">
        <v>213</v>
      </c>
    </row>
    <row r="12" spans="1:12" x14ac:dyDescent="0.3">
      <c r="A12">
        <v>11</v>
      </c>
      <c r="B12">
        <v>1</v>
      </c>
      <c r="C12">
        <v>3</v>
      </c>
      <c r="D12" t="s">
        <v>233</v>
      </c>
      <c r="E12" t="s">
        <v>210</v>
      </c>
      <c r="F12">
        <v>4</v>
      </c>
      <c r="G12">
        <v>1</v>
      </c>
      <c r="H12">
        <v>1</v>
      </c>
      <c r="I12" t="s">
        <v>234</v>
      </c>
      <c r="J12">
        <v>16.7</v>
      </c>
      <c r="K12" t="s">
        <v>235</v>
      </c>
      <c r="L12" t="s">
        <v>208</v>
      </c>
    </row>
    <row r="13" spans="1:12" x14ac:dyDescent="0.3">
      <c r="A13">
        <v>12</v>
      </c>
      <c r="B13">
        <v>1</v>
      </c>
      <c r="C13">
        <v>1</v>
      </c>
      <c r="D13" t="s">
        <v>236</v>
      </c>
      <c r="E13" t="s">
        <v>210</v>
      </c>
      <c r="F13">
        <v>58</v>
      </c>
      <c r="G13">
        <v>0</v>
      </c>
      <c r="H13">
        <v>0</v>
      </c>
      <c r="I13" t="s">
        <v>237</v>
      </c>
      <c r="J13">
        <v>26.55</v>
      </c>
      <c r="K13" t="s">
        <v>238</v>
      </c>
      <c r="L13" t="s">
        <v>208</v>
      </c>
    </row>
    <row r="14" spans="1:12" x14ac:dyDescent="0.3">
      <c r="A14">
        <v>13</v>
      </c>
      <c r="B14">
        <v>0</v>
      </c>
      <c r="C14">
        <v>3</v>
      </c>
      <c r="D14" t="s">
        <v>239</v>
      </c>
      <c r="E14" t="s">
        <v>206</v>
      </c>
      <c r="F14">
        <v>20</v>
      </c>
      <c r="G14">
        <v>0</v>
      </c>
      <c r="H14">
        <v>0</v>
      </c>
      <c r="I14" t="s">
        <v>240</v>
      </c>
      <c r="J14">
        <v>8.0500000000000007</v>
      </c>
      <c r="K14" t="s">
        <v>22</v>
      </c>
      <c r="L14" t="s">
        <v>208</v>
      </c>
    </row>
    <row r="15" spans="1:12" x14ac:dyDescent="0.3">
      <c r="A15">
        <v>14</v>
      </c>
      <c r="B15">
        <v>0</v>
      </c>
      <c r="C15">
        <v>3</v>
      </c>
      <c r="D15" t="s">
        <v>241</v>
      </c>
      <c r="E15" t="s">
        <v>206</v>
      </c>
      <c r="F15">
        <v>39</v>
      </c>
      <c r="G15">
        <v>1</v>
      </c>
      <c r="H15">
        <v>5</v>
      </c>
      <c r="I15" t="s">
        <v>242</v>
      </c>
      <c r="J15">
        <v>31.274999999999999</v>
      </c>
      <c r="K15" t="s">
        <v>22</v>
      </c>
      <c r="L15" t="s">
        <v>208</v>
      </c>
    </row>
    <row r="16" spans="1:12" x14ac:dyDescent="0.3">
      <c r="A16">
        <v>15</v>
      </c>
      <c r="B16">
        <v>0</v>
      </c>
      <c r="C16">
        <v>3</v>
      </c>
      <c r="D16" t="s">
        <v>243</v>
      </c>
      <c r="E16" t="s">
        <v>210</v>
      </c>
      <c r="F16">
        <v>14</v>
      </c>
      <c r="G16">
        <v>0</v>
      </c>
      <c r="H16">
        <v>0</v>
      </c>
      <c r="I16" t="s">
        <v>244</v>
      </c>
      <c r="J16">
        <v>7.8541999999999996</v>
      </c>
      <c r="K16" t="s">
        <v>22</v>
      </c>
      <c r="L16" t="s">
        <v>208</v>
      </c>
    </row>
    <row r="17" spans="1:12" x14ac:dyDescent="0.3">
      <c r="A17">
        <v>16</v>
      </c>
      <c r="B17">
        <v>1</v>
      </c>
      <c r="C17">
        <v>2</v>
      </c>
      <c r="D17" t="s">
        <v>245</v>
      </c>
      <c r="E17" t="s">
        <v>210</v>
      </c>
      <c r="F17">
        <v>55</v>
      </c>
      <c r="G17">
        <v>0</v>
      </c>
      <c r="H17">
        <v>0</v>
      </c>
      <c r="I17" t="s">
        <v>246</v>
      </c>
      <c r="J17">
        <v>16</v>
      </c>
      <c r="K17" t="s">
        <v>22</v>
      </c>
      <c r="L17" t="s">
        <v>208</v>
      </c>
    </row>
    <row r="18" spans="1:12" x14ac:dyDescent="0.3">
      <c r="A18">
        <v>17</v>
      </c>
      <c r="B18">
        <v>0</v>
      </c>
      <c r="C18">
        <v>3</v>
      </c>
      <c r="D18" t="s">
        <v>247</v>
      </c>
      <c r="E18" t="s">
        <v>206</v>
      </c>
      <c r="F18">
        <v>2</v>
      </c>
      <c r="G18">
        <v>4</v>
      </c>
      <c r="H18">
        <v>1</v>
      </c>
      <c r="I18" t="s">
        <v>248</v>
      </c>
      <c r="J18">
        <v>29.125</v>
      </c>
      <c r="K18" t="s">
        <v>22</v>
      </c>
      <c r="L18" t="s">
        <v>223</v>
      </c>
    </row>
    <row r="19" spans="1:12" x14ac:dyDescent="0.3">
      <c r="A19">
        <v>18</v>
      </c>
      <c r="B19">
        <v>1</v>
      </c>
      <c r="C19">
        <v>2</v>
      </c>
      <c r="D19" t="s">
        <v>249</v>
      </c>
      <c r="E19" t="s">
        <v>206</v>
      </c>
      <c r="G19">
        <v>0</v>
      </c>
      <c r="H19">
        <v>0</v>
      </c>
      <c r="I19" t="s">
        <v>250</v>
      </c>
      <c r="J19">
        <v>13</v>
      </c>
      <c r="K19" t="s">
        <v>22</v>
      </c>
      <c r="L19" t="s">
        <v>208</v>
      </c>
    </row>
    <row r="20" spans="1:12" x14ac:dyDescent="0.3">
      <c r="A20">
        <v>19</v>
      </c>
      <c r="B20">
        <v>0</v>
      </c>
      <c r="C20">
        <v>3</v>
      </c>
      <c r="D20" t="s">
        <v>251</v>
      </c>
      <c r="E20" t="s">
        <v>210</v>
      </c>
      <c r="F20">
        <v>31</v>
      </c>
      <c r="G20">
        <v>1</v>
      </c>
      <c r="H20">
        <v>0</v>
      </c>
      <c r="I20" t="s">
        <v>252</v>
      </c>
      <c r="J20">
        <v>18</v>
      </c>
      <c r="K20" t="s">
        <v>22</v>
      </c>
      <c r="L20" t="s">
        <v>208</v>
      </c>
    </row>
    <row r="21" spans="1:12" x14ac:dyDescent="0.3">
      <c r="A21">
        <v>20</v>
      </c>
      <c r="B21">
        <v>1</v>
      </c>
      <c r="C21">
        <v>3</v>
      </c>
      <c r="D21" t="s">
        <v>253</v>
      </c>
      <c r="E21" t="s">
        <v>210</v>
      </c>
      <c r="G21">
        <v>0</v>
      </c>
      <c r="H21">
        <v>0</v>
      </c>
      <c r="I21" t="s">
        <v>254</v>
      </c>
      <c r="J21">
        <v>7.2249999999999996</v>
      </c>
      <c r="K21" t="s">
        <v>22</v>
      </c>
      <c r="L21" t="s">
        <v>213</v>
      </c>
    </row>
    <row r="22" spans="1:12" x14ac:dyDescent="0.3">
      <c r="A22">
        <v>21</v>
      </c>
      <c r="B22">
        <v>0</v>
      </c>
      <c r="C22">
        <v>2</v>
      </c>
      <c r="D22" t="s">
        <v>255</v>
      </c>
      <c r="E22" t="s">
        <v>206</v>
      </c>
      <c r="F22">
        <v>35</v>
      </c>
      <c r="G22">
        <v>0</v>
      </c>
      <c r="H22">
        <v>0</v>
      </c>
      <c r="I22" t="s">
        <v>256</v>
      </c>
      <c r="J22">
        <v>26</v>
      </c>
      <c r="K22" t="s">
        <v>22</v>
      </c>
      <c r="L22" t="s">
        <v>208</v>
      </c>
    </row>
    <row r="23" spans="1:12" x14ac:dyDescent="0.3">
      <c r="A23">
        <v>22</v>
      </c>
      <c r="B23">
        <v>1</v>
      </c>
      <c r="C23">
        <v>2</v>
      </c>
      <c r="D23" t="s">
        <v>257</v>
      </c>
      <c r="E23" t="s">
        <v>206</v>
      </c>
      <c r="F23">
        <v>34</v>
      </c>
      <c r="G23">
        <v>0</v>
      </c>
      <c r="H23">
        <v>0</v>
      </c>
      <c r="I23" t="s">
        <v>258</v>
      </c>
      <c r="J23">
        <v>13</v>
      </c>
      <c r="K23" t="s">
        <v>259</v>
      </c>
      <c r="L23" t="s">
        <v>208</v>
      </c>
    </row>
    <row r="24" spans="1:12" x14ac:dyDescent="0.3">
      <c r="A24">
        <v>23</v>
      </c>
      <c r="B24">
        <v>1</v>
      </c>
      <c r="C24">
        <v>3</v>
      </c>
      <c r="D24" t="s">
        <v>260</v>
      </c>
      <c r="E24" t="s">
        <v>210</v>
      </c>
      <c r="F24">
        <v>15</v>
      </c>
      <c r="G24">
        <v>0</v>
      </c>
      <c r="H24">
        <v>0</v>
      </c>
      <c r="I24" t="s">
        <v>261</v>
      </c>
      <c r="J24">
        <v>8.0291999999999994</v>
      </c>
      <c r="K24" t="s">
        <v>22</v>
      </c>
      <c r="L24" t="s">
        <v>223</v>
      </c>
    </row>
    <row r="25" spans="1:12" x14ac:dyDescent="0.3">
      <c r="A25">
        <v>24</v>
      </c>
      <c r="B25">
        <v>1</v>
      </c>
      <c r="C25">
        <v>1</v>
      </c>
      <c r="D25" t="s">
        <v>262</v>
      </c>
      <c r="E25" t="s">
        <v>206</v>
      </c>
      <c r="F25">
        <v>28</v>
      </c>
      <c r="G25">
        <v>0</v>
      </c>
      <c r="H25">
        <v>0</v>
      </c>
      <c r="I25" t="s">
        <v>263</v>
      </c>
      <c r="J25">
        <v>35.5</v>
      </c>
      <c r="K25" t="s">
        <v>264</v>
      </c>
      <c r="L25" t="s">
        <v>208</v>
      </c>
    </row>
    <row r="26" spans="1:12" x14ac:dyDescent="0.3">
      <c r="A26">
        <v>25</v>
      </c>
      <c r="B26">
        <v>0</v>
      </c>
      <c r="C26">
        <v>3</v>
      </c>
      <c r="D26" t="s">
        <v>265</v>
      </c>
      <c r="E26" t="s">
        <v>210</v>
      </c>
      <c r="F26">
        <v>8</v>
      </c>
      <c r="G26">
        <v>3</v>
      </c>
      <c r="H26">
        <v>1</v>
      </c>
      <c r="I26" t="s">
        <v>228</v>
      </c>
      <c r="J26">
        <v>21.074999999999999</v>
      </c>
      <c r="K26" t="s">
        <v>22</v>
      </c>
      <c r="L26" t="s">
        <v>208</v>
      </c>
    </row>
    <row r="27" spans="1:12" x14ac:dyDescent="0.3">
      <c r="A27">
        <v>26</v>
      </c>
      <c r="B27">
        <v>1</v>
      </c>
      <c r="C27">
        <v>3</v>
      </c>
      <c r="D27" t="s">
        <v>266</v>
      </c>
      <c r="E27" t="s">
        <v>210</v>
      </c>
      <c r="F27">
        <v>38</v>
      </c>
      <c r="G27">
        <v>1</v>
      </c>
      <c r="H27">
        <v>5</v>
      </c>
      <c r="I27" t="s">
        <v>267</v>
      </c>
      <c r="J27">
        <v>31.387499999999999</v>
      </c>
      <c r="K27" t="s">
        <v>22</v>
      </c>
      <c r="L27" t="s">
        <v>208</v>
      </c>
    </row>
    <row r="28" spans="1:12" x14ac:dyDescent="0.3">
      <c r="A28">
        <v>27</v>
      </c>
      <c r="B28">
        <v>0</v>
      </c>
      <c r="C28">
        <v>3</v>
      </c>
      <c r="D28" t="s">
        <v>268</v>
      </c>
      <c r="E28" t="s">
        <v>206</v>
      </c>
      <c r="G28">
        <v>0</v>
      </c>
      <c r="H28">
        <v>0</v>
      </c>
      <c r="I28" t="s">
        <v>269</v>
      </c>
      <c r="J28">
        <v>7.2249999999999996</v>
      </c>
      <c r="K28" t="s">
        <v>22</v>
      </c>
      <c r="L28" t="s">
        <v>213</v>
      </c>
    </row>
    <row r="29" spans="1:12" x14ac:dyDescent="0.3">
      <c r="A29">
        <v>28</v>
      </c>
      <c r="B29">
        <v>0</v>
      </c>
      <c r="C29">
        <v>1</v>
      </c>
      <c r="D29" t="s">
        <v>270</v>
      </c>
      <c r="E29" t="s">
        <v>206</v>
      </c>
      <c r="F29">
        <v>19</v>
      </c>
      <c r="G29">
        <v>3</v>
      </c>
      <c r="H29">
        <v>2</v>
      </c>
      <c r="I29" t="s">
        <v>271</v>
      </c>
      <c r="J29">
        <v>263</v>
      </c>
      <c r="K29" t="s">
        <v>272</v>
      </c>
      <c r="L29" t="s">
        <v>208</v>
      </c>
    </row>
    <row r="30" spans="1:12" x14ac:dyDescent="0.3">
      <c r="A30">
        <v>29</v>
      </c>
      <c r="B30">
        <v>1</v>
      </c>
      <c r="C30">
        <v>3</v>
      </c>
      <c r="D30" t="s">
        <v>273</v>
      </c>
      <c r="E30" t="s">
        <v>210</v>
      </c>
      <c r="G30">
        <v>0</v>
      </c>
      <c r="H30">
        <v>0</v>
      </c>
      <c r="I30" t="s">
        <v>274</v>
      </c>
      <c r="J30">
        <v>7.8792</v>
      </c>
      <c r="K30" t="s">
        <v>22</v>
      </c>
      <c r="L30" t="s">
        <v>223</v>
      </c>
    </row>
    <row r="31" spans="1:12" x14ac:dyDescent="0.3">
      <c r="A31">
        <v>30</v>
      </c>
      <c r="B31">
        <v>0</v>
      </c>
      <c r="C31">
        <v>3</v>
      </c>
      <c r="D31" t="s">
        <v>275</v>
      </c>
      <c r="E31" t="s">
        <v>206</v>
      </c>
      <c r="G31">
        <v>0</v>
      </c>
      <c r="H31">
        <v>0</v>
      </c>
      <c r="I31" t="s">
        <v>276</v>
      </c>
      <c r="J31">
        <v>7.8958000000000004</v>
      </c>
      <c r="K31" t="s">
        <v>22</v>
      </c>
      <c r="L31" t="s">
        <v>208</v>
      </c>
    </row>
    <row r="32" spans="1:12" x14ac:dyDescent="0.3">
      <c r="A32">
        <v>31</v>
      </c>
      <c r="B32">
        <v>0</v>
      </c>
      <c r="C32">
        <v>1</v>
      </c>
      <c r="D32" t="s">
        <v>277</v>
      </c>
      <c r="E32" t="s">
        <v>206</v>
      </c>
      <c r="F32">
        <v>40</v>
      </c>
      <c r="G32">
        <v>0</v>
      </c>
      <c r="H32">
        <v>0</v>
      </c>
      <c r="I32" t="s">
        <v>278</v>
      </c>
      <c r="J32">
        <v>27.720800000000001</v>
      </c>
      <c r="K32" t="s">
        <v>22</v>
      </c>
      <c r="L32" t="s">
        <v>213</v>
      </c>
    </row>
    <row r="33" spans="1:12" x14ac:dyDescent="0.3">
      <c r="A33">
        <v>32</v>
      </c>
      <c r="B33">
        <v>1</v>
      </c>
      <c r="C33">
        <v>1</v>
      </c>
      <c r="D33" t="s">
        <v>279</v>
      </c>
      <c r="E33" t="s">
        <v>210</v>
      </c>
      <c r="G33">
        <v>1</v>
      </c>
      <c r="H33">
        <v>0</v>
      </c>
      <c r="I33" t="s">
        <v>280</v>
      </c>
      <c r="J33">
        <v>146.52080000000001</v>
      </c>
      <c r="K33" t="s">
        <v>281</v>
      </c>
      <c r="L33" t="s">
        <v>213</v>
      </c>
    </row>
    <row r="34" spans="1:12" x14ac:dyDescent="0.3">
      <c r="A34">
        <v>33</v>
      </c>
      <c r="B34">
        <v>1</v>
      </c>
      <c r="C34">
        <v>3</v>
      </c>
      <c r="D34" t="s">
        <v>282</v>
      </c>
      <c r="E34" t="s">
        <v>210</v>
      </c>
      <c r="G34">
        <v>0</v>
      </c>
      <c r="H34">
        <v>0</v>
      </c>
      <c r="I34" t="s">
        <v>283</v>
      </c>
      <c r="J34">
        <v>7.75</v>
      </c>
      <c r="K34" t="s">
        <v>22</v>
      </c>
      <c r="L34" t="s">
        <v>223</v>
      </c>
    </row>
    <row r="35" spans="1:12" x14ac:dyDescent="0.3">
      <c r="A35">
        <v>34</v>
      </c>
      <c r="B35">
        <v>0</v>
      </c>
      <c r="C35">
        <v>2</v>
      </c>
      <c r="D35" t="s">
        <v>284</v>
      </c>
      <c r="E35" t="s">
        <v>206</v>
      </c>
      <c r="F35">
        <v>66</v>
      </c>
      <c r="G35">
        <v>0</v>
      </c>
      <c r="H35">
        <v>0</v>
      </c>
      <c r="I35" t="s">
        <v>285</v>
      </c>
      <c r="J35">
        <v>10.5</v>
      </c>
      <c r="K35" t="s">
        <v>22</v>
      </c>
      <c r="L35" t="s">
        <v>208</v>
      </c>
    </row>
    <row r="36" spans="1:12" x14ac:dyDescent="0.3">
      <c r="A36">
        <v>35</v>
      </c>
      <c r="B36">
        <v>0</v>
      </c>
      <c r="C36">
        <v>1</v>
      </c>
      <c r="D36" t="s">
        <v>286</v>
      </c>
      <c r="E36" t="s">
        <v>206</v>
      </c>
      <c r="F36">
        <v>28</v>
      </c>
      <c r="G36">
        <v>1</v>
      </c>
      <c r="H36">
        <v>0</v>
      </c>
      <c r="I36" t="s">
        <v>287</v>
      </c>
      <c r="J36">
        <v>82.1708</v>
      </c>
      <c r="K36" t="s">
        <v>22</v>
      </c>
      <c r="L36" t="s">
        <v>213</v>
      </c>
    </row>
    <row r="37" spans="1:12" x14ac:dyDescent="0.3">
      <c r="A37">
        <v>36</v>
      </c>
      <c r="B37">
        <v>0</v>
      </c>
      <c r="C37">
        <v>1</v>
      </c>
      <c r="D37" t="s">
        <v>288</v>
      </c>
      <c r="E37" t="s">
        <v>206</v>
      </c>
      <c r="F37">
        <v>42</v>
      </c>
      <c r="G37">
        <v>1</v>
      </c>
      <c r="H37">
        <v>0</v>
      </c>
      <c r="I37" t="s">
        <v>289</v>
      </c>
      <c r="J37">
        <v>52</v>
      </c>
      <c r="K37" t="s">
        <v>22</v>
      </c>
      <c r="L37" t="s">
        <v>208</v>
      </c>
    </row>
    <row r="38" spans="1:12" x14ac:dyDescent="0.3">
      <c r="A38">
        <v>37</v>
      </c>
      <c r="B38">
        <v>1</v>
      </c>
      <c r="C38">
        <v>3</v>
      </c>
      <c r="D38" t="s">
        <v>290</v>
      </c>
      <c r="E38" t="s">
        <v>206</v>
      </c>
      <c r="G38">
        <v>0</v>
      </c>
      <c r="H38">
        <v>0</v>
      </c>
      <c r="I38" t="s">
        <v>291</v>
      </c>
      <c r="J38">
        <v>7.2291999999999996</v>
      </c>
      <c r="K38" t="s">
        <v>22</v>
      </c>
      <c r="L38" t="s">
        <v>213</v>
      </c>
    </row>
    <row r="39" spans="1:12" x14ac:dyDescent="0.3">
      <c r="A39">
        <v>38</v>
      </c>
      <c r="B39">
        <v>0</v>
      </c>
      <c r="C39">
        <v>3</v>
      </c>
      <c r="D39" t="s">
        <v>292</v>
      </c>
      <c r="E39" t="s">
        <v>206</v>
      </c>
      <c r="F39">
        <v>21</v>
      </c>
      <c r="G39">
        <v>0</v>
      </c>
      <c r="H39">
        <v>0</v>
      </c>
      <c r="I39" t="s">
        <v>293</v>
      </c>
      <c r="J39">
        <v>8.0500000000000007</v>
      </c>
      <c r="K39" t="s">
        <v>22</v>
      </c>
      <c r="L39" t="s">
        <v>208</v>
      </c>
    </row>
    <row r="40" spans="1:12" x14ac:dyDescent="0.3">
      <c r="A40">
        <v>39</v>
      </c>
      <c r="B40">
        <v>0</v>
      </c>
      <c r="C40">
        <v>3</v>
      </c>
      <c r="D40" t="s">
        <v>294</v>
      </c>
      <c r="E40" t="s">
        <v>210</v>
      </c>
      <c r="F40">
        <v>18</v>
      </c>
      <c r="G40">
        <v>2</v>
      </c>
      <c r="H40">
        <v>0</v>
      </c>
      <c r="I40" t="s">
        <v>295</v>
      </c>
      <c r="J40">
        <v>18</v>
      </c>
      <c r="K40" t="s">
        <v>22</v>
      </c>
      <c r="L40" t="s">
        <v>208</v>
      </c>
    </row>
    <row r="41" spans="1:12" x14ac:dyDescent="0.3">
      <c r="A41">
        <v>40</v>
      </c>
      <c r="B41">
        <v>1</v>
      </c>
      <c r="C41">
        <v>3</v>
      </c>
      <c r="D41" t="s">
        <v>296</v>
      </c>
      <c r="E41" t="s">
        <v>210</v>
      </c>
      <c r="F41">
        <v>14</v>
      </c>
      <c r="G41">
        <v>1</v>
      </c>
      <c r="H41">
        <v>0</v>
      </c>
      <c r="I41" t="s">
        <v>297</v>
      </c>
      <c r="J41">
        <v>11.2417</v>
      </c>
      <c r="K41" t="s">
        <v>22</v>
      </c>
      <c r="L41" t="s">
        <v>213</v>
      </c>
    </row>
    <row r="42" spans="1:12" x14ac:dyDescent="0.3">
      <c r="A42">
        <v>41</v>
      </c>
      <c r="B42">
        <v>0</v>
      </c>
      <c r="C42">
        <v>3</v>
      </c>
      <c r="D42" t="s">
        <v>298</v>
      </c>
      <c r="E42" t="s">
        <v>210</v>
      </c>
      <c r="F42">
        <v>40</v>
      </c>
      <c r="G42">
        <v>1</v>
      </c>
      <c r="H42">
        <v>0</v>
      </c>
      <c r="I42" t="s">
        <v>299</v>
      </c>
      <c r="J42">
        <v>9.4749999999999996</v>
      </c>
      <c r="K42" t="s">
        <v>22</v>
      </c>
      <c r="L42" t="s">
        <v>208</v>
      </c>
    </row>
    <row r="43" spans="1:12" x14ac:dyDescent="0.3">
      <c r="A43">
        <v>42</v>
      </c>
      <c r="B43">
        <v>0</v>
      </c>
      <c r="C43">
        <v>2</v>
      </c>
      <c r="D43" t="s">
        <v>300</v>
      </c>
      <c r="E43" t="s">
        <v>210</v>
      </c>
      <c r="F43">
        <v>27</v>
      </c>
      <c r="G43">
        <v>1</v>
      </c>
      <c r="H43">
        <v>0</v>
      </c>
      <c r="I43" t="s">
        <v>301</v>
      </c>
      <c r="J43">
        <v>21</v>
      </c>
      <c r="K43" t="s">
        <v>22</v>
      </c>
      <c r="L43" t="s">
        <v>208</v>
      </c>
    </row>
    <row r="44" spans="1:12" x14ac:dyDescent="0.3">
      <c r="A44">
        <v>43</v>
      </c>
      <c r="B44">
        <v>0</v>
      </c>
      <c r="C44">
        <v>3</v>
      </c>
      <c r="D44" t="s">
        <v>302</v>
      </c>
      <c r="E44" t="s">
        <v>206</v>
      </c>
      <c r="G44">
        <v>0</v>
      </c>
      <c r="H44">
        <v>0</v>
      </c>
      <c r="I44" t="s">
        <v>303</v>
      </c>
      <c r="J44">
        <v>7.8958000000000004</v>
      </c>
      <c r="K44" t="s">
        <v>22</v>
      </c>
      <c r="L44" t="s">
        <v>213</v>
      </c>
    </row>
    <row r="45" spans="1:12" x14ac:dyDescent="0.3">
      <c r="A45">
        <v>44</v>
      </c>
      <c r="B45">
        <v>1</v>
      </c>
      <c r="C45">
        <v>2</v>
      </c>
      <c r="D45" t="s">
        <v>304</v>
      </c>
      <c r="E45" t="s">
        <v>210</v>
      </c>
      <c r="F45">
        <v>3</v>
      </c>
      <c r="G45">
        <v>1</v>
      </c>
      <c r="H45">
        <v>2</v>
      </c>
      <c r="I45" t="s">
        <v>305</v>
      </c>
      <c r="J45">
        <v>41.5792</v>
      </c>
      <c r="K45" t="s">
        <v>22</v>
      </c>
      <c r="L45" t="s">
        <v>213</v>
      </c>
    </row>
    <row r="46" spans="1:12" x14ac:dyDescent="0.3">
      <c r="A46">
        <v>45</v>
      </c>
      <c r="B46">
        <v>1</v>
      </c>
      <c r="C46">
        <v>3</v>
      </c>
      <c r="D46" t="s">
        <v>306</v>
      </c>
      <c r="E46" t="s">
        <v>210</v>
      </c>
      <c r="F46">
        <v>19</v>
      </c>
      <c r="G46">
        <v>0</v>
      </c>
      <c r="H46">
        <v>0</v>
      </c>
      <c r="I46" t="s">
        <v>307</v>
      </c>
      <c r="J46">
        <v>7.8792</v>
      </c>
      <c r="K46" t="s">
        <v>22</v>
      </c>
      <c r="L46" t="s">
        <v>223</v>
      </c>
    </row>
    <row r="47" spans="1:12" x14ac:dyDescent="0.3">
      <c r="A47">
        <v>46</v>
      </c>
      <c r="B47">
        <v>0</v>
      </c>
      <c r="C47">
        <v>3</v>
      </c>
      <c r="D47" t="s">
        <v>308</v>
      </c>
      <c r="E47" t="s">
        <v>206</v>
      </c>
      <c r="G47">
        <v>0</v>
      </c>
      <c r="H47">
        <v>0</v>
      </c>
      <c r="I47" t="s">
        <v>309</v>
      </c>
      <c r="J47">
        <v>8.0500000000000007</v>
      </c>
      <c r="K47" t="s">
        <v>22</v>
      </c>
      <c r="L47" t="s">
        <v>208</v>
      </c>
    </row>
    <row r="48" spans="1:12" x14ac:dyDescent="0.3">
      <c r="A48">
        <v>47</v>
      </c>
      <c r="B48">
        <v>0</v>
      </c>
      <c r="C48">
        <v>3</v>
      </c>
      <c r="D48" t="s">
        <v>310</v>
      </c>
      <c r="E48" t="s">
        <v>206</v>
      </c>
      <c r="G48">
        <v>1</v>
      </c>
      <c r="H48">
        <v>0</v>
      </c>
      <c r="I48" t="s">
        <v>311</v>
      </c>
      <c r="J48">
        <v>15.5</v>
      </c>
      <c r="K48" t="s">
        <v>22</v>
      </c>
      <c r="L48" t="s">
        <v>223</v>
      </c>
    </row>
    <row r="49" spans="1:12" x14ac:dyDescent="0.3">
      <c r="A49">
        <v>48</v>
      </c>
      <c r="B49">
        <v>1</v>
      </c>
      <c r="C49">
        <v>3</v>
      </c>
      <c r="D49" t="s">
        <v>312</v>
      </c>
      <c r="E49" t="s">
        <v>210</v>
      </c>
      <c r="G49">
        <v>0</v>
      </c>
      <c r="H49">
        <v>0</v>
      </c>
      <c r="I49" t="s">
        <v>313</v>
      </c>
      <c r="J49">
        <v>7.75</v>
      </c>
      <c r="K49" t="s">
        <v>22</v>
      </c>
      <c r="L49" t="s">
        <v>223</v>
      </c>
    </row>
    <row r="50" spans="1:12" x14ac:dyDescent="0.3">
      <c r="A50">
        <v>49</v>
      </c>
      <c r="B50">
        <v>0</v>
      </c>
      <c r="C50">
        <v>3</v>
      </c>
      <c r="D50" t="s">
        <v>314</v>
      </c>
      <c r="E50" t="s">
        <v>206</v>
      </c>
      <c r="G50">
        <v>2</v>
      </c>
      <c r="H50">
        <v>0</v>
      </c>
      <c r="I50" t="s">
        <v>315</v>
      </c>
      <c r="J50">
        <v>21.679200000000002</v>
      </c>
      <c r="K50" t="s">
        <v>22</v>
      </c>
      <c r="L50" t="s">
        <v>213</v>
      </c>
    </row>
    <row r="51" spans="1:12" x14ac:dyDescent="0.3">
      <c r="A51">
        <v>50</v>
      </c>
      <c r="B51">
        <v>0</v>
      </c>
      <c r="C51">
        <v>3</v>
      </c>
      <c r="D51" t="s">
        <v>316</v>
      </c>
      <c r="E51" t="s">
        <v>210</v>
      </c>
      <c r="F51">
        <v>18</v>
      </c>
      <c r="G51">
        <v>1</v>
      </c>
      <c r="H51">
        <v>0</v>
      </c>
      <c r="I51" t="s">
        <v>317</v>
      </c>
      <c r="J51">
        <v>17.8</v>
      </c>
      <c r="K51" t="s">
        <v>22</v>
      </c>
      <c r="L51" t="s">
        <v>208</v>
      </c>
    </row>
    <row r="52" spans="1:12" x14ac:dyDescent="0.3">
      <c r="A52">
        <v>51</v>
      </c>
      <c r="B52">
        <v>0</v>
      </c>
      <c r="C52">
        <v>3</v>
      </c>
      <c r="D52" t="s">
        <v>318</v>
      </c>
      <c r="E52" t="s">
        <v>206</v>
      </c>
      <c r="F52">
        <v>7</v>
      </c>
      <c r="G52">
        <v>4</v>
      </c>
      <c r="H52">
        <v>1</v>
      </c>
      <c r="I52" t="s">
        <v>319</v>
      </c>
      <c r="J52">
        <v>39.6875</v>
      </c>
      <c r="K52" t="s">
        <v>22</v>
      </c>
      <c r="L52" t="s">
        <v>208</v>
      </c>
    </row>
    <row r="53" spans="1:12" x14ac:dyDescent="0.3">
      <c r="A53">
        <v>52</v>
      </c>
      <c r="B53">
        <v>0</v>
      </c>
      <c r="C53">
        <v>3</v>
      </c>
      <c r="D53" t="s">
        <v>320</v>
      </c>
      <c r="E53" t="s">
        <v>206</v>
      </c>
      <c r="F53">
        <v>21</v>
      </c>
      <c r="G53">
        <v>0</v>
      </c>
      <c r="H53">
        <v>0</v>
      </c>
      <c r="I53" t="s">
        <v>321</v>
      </c>
      <c r="J53">
        <v>7.8</v>
      </c>
      <c r="K53" t="s">
        <v>22</v>
      </c>
      <c r="L53" t="s">
        <v>208</v>
      </c>
    </row>
    <row r="54" spans="1:12" x14ac:dyDescent="0.3">
      <c r="A54">
        <v>53</v>
      </c>
      <c r="B54">
        <v>1</v>
      </c>
      <c r="C54">
        <v>1</v>
      </c>
      <c r="D54" t="s">
        <v>322</v>
      </c>
      <c r="E54" t="s">
        <v>210</v>
      </c>
      <c r="F54">
        <v>49</v>
      </c>
      <c r="G54">
        <v>1</v>
      </c>
      <c r="H54">
        <v>0</v>
      </c>
      <c r="I54" t="s">
        <v>323</v>
      </c>
      <c r="J54">
        <v>76.729200000000006</v>
      </c>
      <c r="K54" t="s">
        <v>324</v>
      </c>
      <c r="L54" t="s">
        <v>213</v>
      </c>
    </row>
    <row r="55" spans="1:12" x14ac:dyDescent="0.3">
      <c r="A55">
        <v>54</v>
      </c>
      <c r="B55">
        <v>1</v>
      </c>
      <c r="C55">
        <v>2</v>
      </c>
      <c r="D55" t="s">
        <v>325</v>
      </c>
      <c r="E55" t="s">
        <v>210</v>
      </c>
      <c r="F55">
        <v>29</v>
      </c>
      <c r="G55">
        <v>1</v>
      </c>
      <c r="H55">
        <v>0</v>
      </c>
      <c r="I55" t="s">
        <v>326</v>
      </c>
      <c r="J55">
        <v>26</v>
      </c>
      <c r="K55" t="s">
        <v>22</v>
      </c>
      <c r="L55" t="s">
        <v>208</v>
      </c>
    </row>
    <row r="56" spans="1:12" x14ac:dyDescent="0.3">
      <c r="A56">
        <v>55</v>
      </c>
      <c r="B56">
        <v>0</v>
      </c>
      <c r="C56">
        <v>1</v>
      </c>
      <c r="D56" t="s">
        <v>327</v>
      </c>
      <c r="E56" t="s">
        <v>206</v>
      </c>
      <c r="F56">
        <v>65</v>
      </c>
      <c r="G56">
        <v>0</v>
      </c>
      <c r="H56">
        <v>1</v>
      </c>
      <c r="I56" t="s">
        <v>328</v>
      </c>
      <c r="J56">
        <v>61.979199999999999</v>
      </c>
      <c r="K56" t="s">
        <v>329</v>
      </c>
      <c r="L56" t="s">
        <v>213</v>
      </c>
    </row>
    <row r="57" spans="1:12" x14ac:dyDescent="0.3">
      <c r="A57">
        <v>56</v>
      </c>
      <c r="B57">
        <v>1</v>
      </c>
      <c r="C57">
        <v>1</v>
      </c>
      <c r="D57" t="s">
        <v>330</v>
      </c>
      <c r="E57" t="s">
        <v>206</v>
      </c>
      <c r="G57">
        <v>0</v>
      </c>
      <c r="H57">
        <v>0</v>
      </c>
      <c r="I57" t="s">
        <v>331</v>
      </c>
      <c r="J57">
        <v>35.5</v>
      </c>
      <c r="K57" t="s">
        <v>332</v>
      </c>
      <c r="L57" t="s">
        <v>208</v>
      </c>
    </row>
    <row r="58" spans="1:12" x14ac:dyDescent="0.3">
      <c r="A58">
        <v>57</v>
      </c>
      <c r="B58">
        <v>1</v>
      </c>
      <c r="C58">
        <v>2</v>
      </c>
      <c r="D58" t="s">
        <v>333</v>
      </c>
      <c r="E58" t="s">
        <v>210</v>
      </c>
      <c r="F58">
        <v>21</v>
      </c>
      <c r="G58">
        <v>0</v>
      </c>
      <c r="H58">
        <v>0</v>
      </c>
      <c r="I58" t="s">
        <v>334</v>
      </c>
      <c r="J58">
        <v>10.5</v>
      </c>
      <c r="K58" t="s">
        <v>22</v>
      </c>
      <c r="L58" t="s">
        <v>208</v>
      </c>
    </row>
    <row r="59" spans="1:12" x14ac:dyDescent="0.3">
      <c r="A59">
        <v>58</v>
      </c>
      <c r="B59">
        <v>0</v>
      </c>
      <c r="C59">
        <v>3</v>
      </c>
      <c r="D59" t="s">
        <v>335</v>
      </c>
      <c r="E59" t="s">
        <v>206</v>
      </c>
      <c r="F59">
        <v>28.5</v>
      </c>
      <c r="G59">
        <v>0</v>
      </c>
      <c r="H59">
        <v>0</v>
      </c>
      <c r="I59" t="s">
        <v>336</v>
      </c>
      <c r="J59">
        <v>7.2291999999999996</v>
      </c>
      <c r="K59" t="s">
        <v>22</v>
      </c>
      <c r="L59" t="s">
        <v>213</v>
      </c>
    </row>
    <row r="60" spans="1:12" x14ac:dyDescent="0.3">
      <c r="A60">
        <v>59</v>
      </c>
      <c r="B60">
        <v>1</v>
      </c>
      <c r="C60">
        <v>2</v>
      </c>
      <c r="D60" t="s">
        <v>337</v>
      </c>
      <c r="E60" t="s">
        <v>210</v>
      </c>
      <c r="F60">
        <v>5</v>
      </c>
      <c r="G60">
        <v>1</v>
      </c>
      <c r="H60">
        <v>2</v>
      </c>
      <c r="I60" t="s">
        <v>338</v>
      </c>
      <c r="J60">
        <v>27.75</v>
      </c>
      <c r="K60" t="s">
        <v>22</v>
      </c>
      <c r="L60" t="s">
        <v>208</v>
      </c>
    </row>
    <row r="61" spans="1:12" x14ac:dyDescent="0.3">
      <c r="A61">
        <v>60</v>
      </c>
      <c r="B61">
        <v>0</v>
      </c>
      <c r="C61">
        <v>3</v>
      </c>
      <c r="D61" t="s">
        <v>339</v>
      </c>
      <c r="E61" t="s">
        <v>206</v>
      </c>
      <c r="F61">
        <v>11</v>
      </c>
      <c r="G61">
        <v>5</v>
      </c>
      <c r="H61">
        <v>2</v>
      </c>
      <c r="I61" t="s">
        <v>340</v>
      </c>
      <c r="J61">
        <v>46.9</v>
      </c>
      <c r="K61" t="s">
        <v>22</v>
      </c>
      <c r="L61" t="s">
        <v>208</v>
      </c>
    </row>
    <row r="62" spans="1:12" x14ac:dyDescent="0.3">
      <c r="A62">
        <v>61</v>
      </c>
      <c r="B62">
        <v>0</v>
      </c>
      <c r="C62">
        <v>3</v>
      </c>
      <c r="D62" t="s">
        <v>341</v>
      </c>
      <c r="E62" t="s">
        <v>206</v>
      </c>
      <c r="F62">
        <v>22</v>
      </c>
      <c r="G62">
        <v>0</v>
      </c>
      <c r="H62">
        <v>0</v>
      </c>
      <c r="I62" t="s">
        <v>342</v>
      </c>
      <c r="J62">
        <v>7.2291999999999996</v>
      </c>
      <c r="K62" t="s">
        <v>22</v>
      </c>
      <c r="L62" t="s">
        <v>213</v>
      </c>
    </row>
    <row r="63" spans="1:12" x14ac:dyDescent="0.3">
      <c r="A63">
        <v>62</v>
      </c>
      <c r="B63">
        <v>1</v>
      </c>
      <c r="C63">
        <v>1</v>
      </c>
      <c r="D63" t="s">
        <v>343</v>
      </c>
      <c r="E63" t="s">
        <v>210</v>
      </c>
      <c r="F63">
        <v>38</v>
      </c>
      <c r="G63">
        <v>0</v>
      </c>
      <c r="H63">
        <v>0</v>
      </c>
      <c r="I63" t="s">
        <v>344</v>
      </c>
      <c r="J63">
        <v>80</v>
      </c>
      <c r="K63" t="s">
        <v>345</v>
      </c>
      <c r="L63" t="s">
        <v>22</v>
      </c>
    </row>
    <row r="64" spans="1:12" x14ac:dyDescent="0.3">
      <c r="A64">
        <v>63</v>
      </c>
      <c r="B64">
        <v>0</v>
      </c>
      <c r="C64">
        <v>1</v>
      </c>
      <c r="D64" t="s">
        <v>346</v>
      </c>
      <c r="E64" t="s">
        <v>206</v>
      </c>
      <c r="F64">
        <v>45</v>
      </c>
      <c r="G64">
        <v>1</v>
      </c>
      <c r="H64">
        <v>0</v>
      </c>
      <c r="I64" t="s">
        <v>347</v>
      </c>
      <c r="J64">
        <v>83.474999999999994</v>
      </c>
      <c r="K64" t="s">
        <v>348</v>
      </c>
      <c r="L64" t="s">
        <v>208</v>
      </c>
    </row>
    <row r="65" spans="1:12" x14ac:dyDescent="0.3">
      <c r="A65">
        <v>64</v>
      </c>
      <c r="B65">
        <v>0</v>
      </c>
      <c r="C65">
        <v>3</v>
      </c>
      <c r="D65" t="s">
        <v>349</v>
      </c>
      <c r="E65" t="s">
        <v>206</v>
      </c>
      <c r="F65">
        <v>4</v>
      </c>
      <c r="G65">
        <v>3</v>
      </c>
      <c r="H65">
        <v>2</v>
      </c>
      <c r="I65" t="s">
        <v>350</v>
      </c>
      <c r="J65">
        <v>27.9</v>
      </c>
      <c r="K65" t="s">
        <v>22</v>
      </c>
      <c r="L65" t="s">
        <v>208</v>
      </c>
    </row>
    <row r="66" spans="1:12" x14ac:dyDescent="0.3">
      <c r="A66">
        <v>65</v>
      </c>
      <c r="B66">
        <v>0</v>
      </c>
      <c r="C66">
        <v>1</v>
      </c>
      <c r="D66" t="s">
        <v>351</v>
      </c>
      <c r="E66" t="s">
        <v>206</v>
      </c>
      <c r="G66">
        <v>0</v>
      </c>
      <c r="H66">
        <v>0</v>
      </c>
      <c r="I66" t="s">
        <v>352</v>
      </c>
      <c r="J66">
        <v>27.720800000000001</v>
      </c>
      <c r="K66" t="s">
        <v>22</v>
      </c>
      <c r="L66" t="s">
        <v>213</v>
      </c>
    </row>
    <row r="67" spans="1:12" x14ac:dyDescent="0.3">
      <c r="A67">
        <v>66</v>
      </c>
      <c r="B67">
        <v>1</v>
      </c>
      <c r="C67">
        <v>3</v>
      </c>
      <c r="D67" t="s">
        <v>353</v>
      </c>
      <c r="E67" t="s">
        <v>206</v>
      </c>
      <c r="G67">
        <v>1</v>
      </c>
      <c r="H67">
        <v>1</v>
      </c>
      <c r="I67" t="s">
        <v>354</v>
      </c>
      <c r="J67">
        <v>15.245799999999999</v>
      </c>
      <c r="K67" t="s">
        <v>22</v>
      </c>
      <c r="L67" t="s">
        <v>213</v>
      </c>
    </row>
    <row r="68" spans="1:12" x14ac:dyDescent="0.3">
      <c r="A68">
        <v>67</v>
      </c>
      <c r="B68">
        <v>1</v>
      </c>
      <c r="C68">
        <v>2</v>
      </c>
      <c r="D68" t="s">
        <v>355</v>
      </c>
      <c r="E68" t="s">
        <v>210</v>
      </c>
      <c r="F68">
        <v>29</v>
      </c>
      <c r="G68">
        <v>0</v>
      </c>
      <c r="H68">
        <v>0</v>
      </c>
      <c r="I68" t="s">
        <v>356</v>
      </c>
      <c r="J68">
        <v>10.5</v>
      </c>
      <c r="K68" t="s">
        <v>357</v>
      </c>
      <c r="L68" t="s">
        <v>208</v>
      </c>
    </row>
    <row r="69" spans="1:12" x14ac:dyDescent="0.3">
      <c r="A69">
        <v>68</v>
      </c>
      <c r="B69">
        <v>0</v>
      </c>
      <c r="C69">
        <v>3</v>
      </c>
      <c r="D69" t="s">
        <v>358</v>
      </c>
      <c r="E69" t="s">
        <v>206</v>
      </c>
      <c r="F69">
        <v>19</v>
      </c>
      <c r="G69">
        <v>0</v>
      </c>
      <c r="H69">
        <v>0</v>
      </c>
      <c r="I69" t="s">
        <v>359</v>
      </c>
      <c r="J69">
        <v>8.1583000000000006</v>
      </c>
      <c r="K69" t="s">
        <v>22</v>
      </c>
      <c r="L69" t="s">
        <v>208</v>
      </c>
    </row>
    <row r="70" spans="1:12" x14ac:dyDescent="0.3">
      <c r="A70">
        <v>69</v>
      </c>
      <c r="B70">
        <v>1</v>
      </c>
      <c r="C70">
        <v>3</v>
      </c>
      <c r="D70" t="s">
        <v>360</v>
      </c>
      <c r="E70" t="s">
        <v>210</v>
      </c>
      <c r="F70">
        <v>17</v>
      </c>
      <c r="G70">
        <v>4</v>
      </c>
      <c r="H70">
        <v>2</v>
      </c>
      <c r="I70" t="s">
        <v>361</v>
      </c>
      <c r="J70">
        <v>7.9249999999999998</v>
      </c>
      <c r="K70" t="s">
        <v>22</v>
      </c>
      <c r="L70" t="s">
        <v>208</v>
      </c>
    </row>
    <row r="71" spans="1:12" x14ac:dyDescent="0.3">
      <c r="A71">
        <v>70</v>
      </c>
      <c r="B71">
        <v>0</v>
      </c>
      <c r="C71">
        <v>3</v>
      </c>
      <c r="D71" t="s">
        <v>362</v>
      </c>
      <c r="E71" t="s">
        <v>206</v>
      </c>
      <c r="F71">
        <v>26</v>
      </c>
      <c r="G71">
        <v>2</v>
      </c>
      <c r="H71">
        <v>0</v>
      </c>
      <c r="I71" t="s">
        <v>363</v>
      </c>
      <c r="J71">
        <v>8.6624999999999996</v>
      </c>
      <c r="K71" t="s">
        <v>22</v>
      </c>
      <c r="L71" t="s">
        <v>208</v>
      </c>
    </row>
    <row r="72" spans="1:12" x14ac:dyDescent="0.3">
      <c r="A72">
        <v>71</v>
      </c>
      <c r="B72">
        <v>0</v>
      </c>
      <c r="C72">
        <v>2</v>
      </c>
      <c r="D72" t="s">
        <v>364</v>
      </c>
      <c r="E72" t="s">
        <v>206</v>
      </c>
      <c r="F72">
        <v>32</v>
      </c>
      <c r="G72">
        <v>0</v>
      </c>
      <c r="H72">
        <v>0</v>
      </c>
      <c r="I72" t="s">
        <v>365</v>
      </c>
      <c r="J72">
        <v>10.5</v>
      </c>
      <c r="K72" t="s">
        <v>22</v>
      </c>
      <c r="L72" t="s">
        <v>208</v>
      </c>
    </row>
    <row r="73" spans="1:12" x14ac:dyDescent="0.3">
      <c r="A73">
        <v>72</v>
      </c>
      <c r="B73">
        <v>0</v>
      </c>
      <c r="C73">
        <v>3</v>
      </c>
      <c r="D73" t="s">
        <v>366</v>
      </c>
      <c r="E73" t="s">
        <v>210</v>
      </c>
      <c r="F73">
        <v>16</v>
      </c>
      <c r="G73">
        <v>5</v>
      </c>
      <c r="H73">
        <v>2</v>
      </c>
      <c r="I73" t="s">
        <v>340</v>
      </c>
      <c r="J73">
        <v>46.9</v>
      </c>
      <c r="K73" t="s">
        <v>22</v>
      </c>
      <c r="L73" t="s">
        <v>208</v>
      </c>
    </row>
    <row r="74" spans="1:12" x14ac:dyDescent="0.3">
      <c r="A74">
        <v>73</v>
      </c>
      <c r="B74">
        <v>0</v>
      </c>
      <c r="C74">
        <v>2</v>
      </c>
      <c r="D74" t="s">
        <v>367</v>
      </c>
      <c r="E74" t="s">
        <v>206</v>
      </c>
      <c r="F74">
        <v>21</v>
      </c>
      <c r="G74">
        <v>0</v>
      </c>
      <c r="H74">
        <v>0</v>
      </c>
      <c r="I74" t="s">
        <v>368</v>
      </c>
      <c r="J74">
        <v>73.5</v>
      </c>
      <c r="K74" t="s">
        <v>22</v>
      </c>
      <c r="L74" t="s">
        <v>208</v>
      </c>
    </row>
    <row r="75" spans="1:12" x14ac:dyDescent="0.3">
      <c r="A75">
        <v>74</v>
      </c>
      <c r="B75">
        <v>0</v>
      </c>
      <c r="C75">
        <v>3</v>
      </c>
      <c r="D75" t="s">
        <v>369</v>
      </c>
      <c r="E75" t="s">
        <v>206</v>
      </c>
      <c r="F75">
        <v>26</v>
      </c>
      <c r="G75">
        <v>1</v>
      </c>
      <c r="H75">
        <v>0</v>
      </c>
      <c r="I75" t="s">
        <v>370</v>
      </c>
      <c r="J75">
        <v>14.4542</v>
      </c>
      <c r="K75" t="s">
        <v>22</v>
      </c>
      <c r="L75" t="s">
        <v>213</v>
      </c>
    </row>
    <row r="76" spans="1:12" x14ac:dyDescent="0.3">
      <c r="A76">
        <v>75</v>
      </c>
      <c r="B76">
        <v>1</v>
      </c>
      <c r="C76">
        <v>3</v>
      </c>
      <c r="D76" t="s">
        <v>371</v>
      </c>
      <c r="E76" t="s">
        <v>206</v>
      </c>
      <c r="F76">
        <v>32</v>
      </c>
      <c r="G76">
        <v>0</v>
      </c>
      <c r="H76">
        <v>0</v>
      </c>
      <c r="I76" t="s">
        <v>372</v>
      </c>
      <c r="J76">
        <v>56.495800000000003</v>
      </c>
      <c r="K76" t="s">
        <v>22</v>
      </c>
      <c r="L76" t="s">
        <v>208</v>
      </c>
    </row>
    <row r="77" spans="1:12" x14ac:dyDescent="0.3">
      <c r="A77">
        <v>76</v>
      </c>
      <c r="B77">
        <v>0</v>
      </c>
      <c r="C77">
        <v>3</v>
      </c>
      <c r="D77" t="s">
        <v>373</v>
      </c>
      <c r="E77" t="s">
        <v>206</v>
      </c>
      <c r="F77">
        <v>25</v>
      </c>
      <c r="G77">
        <v>0</v>
      </c>
      <c r="H77">
        <v>0</v>
      </c>
      <c r="I77" t="s">
        <v>374</v>
      </c>
      <c r="J77">
        <v>7.65</v>
      </c>
      <c r="K77" t="s">
        <v>375</v>
      </c>
      <c r="L77" t="s">
        <v>208</v>
      </c>
    </row>
    <row r="78" spans="1:12" x14ac:dyDescent="0.3">
      <c r="A78">
        <v>77</v>
      </c>
      <c r="B78">
        <v>0</v>
      </c>
      <c r="C78">
        <v>3</v>
      </c>
      <c r="D78" t="s">
        <v>376</v>
      </c>
      <c r="E78" t="s">
        <v>206</v>
      </c>
      <c r="G78">
        <v>0</v>
      </c>
      <c r="H78">
        <v>0</v>
      </c>
      <c r="I78" t="s">
        <v>377</v>
      </c>
      <c r="J78">
        <v>7.8958000000000004</v>
      </c>
      <c r="K78" t="s">
        <v>22</v>
      </c>
      <c r="L78" t="s">
        <v>208</v>
      </c>
    </row>
    <row r="79" spans="1:12" x14ac:dyDescent="0.3">
      <c r="A79">
        <v>78</v>
      </c>
      <c r="B79">
        <v>0</v>
      </c>
      <c r="C79">
        <v>3</v>
      </c>
      <c r="D79" t="s">
        <v>378</v>
      </c>
      <c r="E79" t="s">
        <v>206</v>
      </c>
      <c r="G79">
        <v>0</v>
      </c>
      <c r="H79">
        <v>0</v>
      </c>
      <c r="I79" t="s">
        <v>379</v>
      </c>
      <c r="J79">
        <v>8.0500000000000007</v>
      </c>
      <c r="K79" t="s">
        <v>22</v>
      </c>
      <c r="L79" t="s">
        <v>208</v>
      </c>
    </row>
    <row r="80" spans="1:12" x14ac:dyDescent="0.3">
      <c r="A80">
        <v>79</v>
      </c>
      <c r="B80">
        <v>1</v>
      </c>
      <c r="C80">
        <v>2</v>
      </c>
      <c r="D80" t="s">
        <v>380</v>
      </c>
      <c r="E80" t="s">
        <v>206</v>
      </c>
      <c r="F80">
        <v>0.83</v>
      </c>
      <c r="G80">
        <v>0</v>
      </c>
      <c r="H80">
        <v>2</v>
      </c>
      <c r="I80" t="s">
        <v>381</v>
      </c>
      <c r="J80">
        <v>29</v>
      </c>
      <c r="K80" t="s">
        <v>22</v>
      </c>
      <c r="L80" t="s">
        <v>208</v>
      </c>
    </row>
    <row r="81" spans="1:12" x14ac:dyDescent="0.3">
      <c r="A81">
        <v>80</v>
      </c>
      <c r="B81">
        <v>1</v>
      </c>
      <c r="C81">
        <v>3</v>
      </c>
      <c r="D81" t="s">
        <v>382</v>
      </c>
      <c r="E81" t="s">
        <v>210</v>
      </c>
      <c r="F81">
        <v>30</v>
      </c>
      <c r="G81">
        <v>0</v>
      </c>
      <c r="H81">
        <v>0</v>
      </c>
      <c r="I81" t="s">
        <v>383</v>
      </c>
      <c r="J81">
        <v>12.475</v>
      </c>
      <c r="K81" t="s">
        <v>22</v>
      </c>
      <c r="L81" t="s">
        <v>208</v>
      </c>
    </row>
    <row r="82" spans="1:12" x14ac:dyDescent="0.3">
      <c r="A82">
        <v>81</v>
      </c>
      <c r="B82">
        <v>0</v>
      </c>
      <c r="C82">
        <v>3</v>
      </c>
      <c r="D82" t="s">
        <v>384</v>
      </c>
      <c r="E82" t="s">
        <v>206</v>
      </c>
      <c r="F82">
        <v>22</v>
      </c>
      <c r="G82">
        <v>0</v>
      </c>
      <c r="H82">
        <v>0</v>
      </c>
      <c r="I82" t="s">
        <v>385</v>
      </c>
      <c r="J82">
        <v>9</v>
      </c>
      <c r="K82" t="s">
        <v>22</v>
      </c>
      <c r="L82" t="s">
        <v>208</v>
      </c>
    </row>
    <row r="83" spans="1:12" x14ac:dyDescent="0.3">
      <c r="A83">
        <v>82</v>
      </c>
      <c r="B83">
        <v>1</v>
      </c>
      <c r="C83">
        <v>3</v>
      </c>
      <c r="D83" t="s">
        <v>386</v>
      </c>
      <c r="E83" t="s">
        <v>206</v>
      </c>
      <c r="F83">
        <v>29</v>
      </c>
      <c r="G83">
        <v>0</v>
      </c>
      <c r="H83">
        <v>0</v>
      </c>
      <c r="I83" t="s">
        <v>387</v>
      </c>
      <c r="J83">
        <v>9.5</v>
      </c>
      <c r="K83" t="s">
        <v>22</v>
      </c>
      <c r="L83" t="s">
        <v>208</v>
      </c>
    </row>
    <row r="84" spans="1:12" x14ac:dyDescent="0.3">
      <c r="A84">
        <v>83</v>
      </c>
      <c r="B84">
        <v>1</v>
      </c>
      <c r="C84">
        <v>3</v>
      </c>
      <c r="D84" t="s">
        <v>388</v>
      </c>
      <c r="E84" t="s">
        <v>210</v>
      </c>
      <c r="G84">
        <v>0</v>
      </c>
      <c r="H84">
        <v>0</v>
      </c>
      <c r="I84" t="s">
        <v>389</v>
      </c>
      <c r="J84">
        <v>7.7874999999999996</v>
      </c>
      <c r="K84" t="s">
        <v>22</v>
      </c>
      <c r="L84" t="s">
        <v>223</v>
      </c>
    </row>
    <row r="85" spans="1:12" x14ac:dyDescent="0.3">
      <c r="A85">
        <v>84</v>
      </c>
      <c r="B85">
        <v>0</v>
      </c>
      <c r="C85">
        <v>1</v>
      </c>
      <c r="D85" t="s">
        <v>390</v>
      </c>
      <c r="E85" t="s">
        <v>206</v>
      </c>
      <c r="F85">
        <v>28</v>
      </c>
      <c r="G85">
        <v>0</v>
      </c>
      <c r="H85">
        <v>0</v>
      </c>
      <c r="I85" t="s">
        <v>391</v>
      </c>
      <c r="J85">
        <v>47.1</v>
      </c>
      <c r="K85" t="s">
        <v>22</v>
      </c>
      <c r="L85" t="s">
        <v>208</v>
      </c>
    </row>
    <row r="86" spans="1:12" x14ac:dyDescent="0.3">
      <c r="A86">
        <v>85</v>
      </c>
      <c r="B86">
        <v>1</v>
      </c>
      <c r="C86">
        <v>2</v>
      </c>
      <c r="D86" t="s">
        <v>392</v>
      </c>
      <c r="E86" t="s">
        <v>210</v>
      </c>
      <c r="F86">
        <v>17</v>
      </c>
      <c r="G86">
        <v>0</v>
      </c>
      <c r="H86">
        <v>0</v>
      </c>
      <c r="I86" t="s">
        <v>393</v>
      </c>
      <c r="J86">
        <v>10.5</v>
      </c>
      <c r="K86" t="s">
        <v>22</v>
      </c>
      <c r="L86" t="s">
        <v>208</v>
      </c>
    </row>
    <row r="87" spans="1:12" x14ac:dyDescent="0.3">
      <c r="A87">
        <v>86</v>
      </c>
      <c r="B87">
        <v>1</v>
      </c>
      <c r="C87">
        <v>3</v>
      </c>
      <c r="D87" t="s">
        <v>394</v>
      </c>
      <c r="E87" t="s">
        <v>210</v>
      </c>
      <c r="F87">
        <v>33</v>
      </c>
      <c r="G87">
        <v>3</v>
      </c>
      <c r="H87">
        <v>0</v>
      </c>
      <c r="I87" t="s">
        <v>395</v>
      </c>
      <c r="J87">
        <v>15.85</v>
      </c>
      <c r="K87" t="s">
        <v>22</v>
      </c>
      <c r="L87" t="s">
        <v>208</v>
      </c>
    </row>
    <row r="88" spans="1:12" x14ac:dyDescent="0.3">
      <c r="A88">
        <v>87</v>
      </c>
      <c r="B88">
        <v>0</v>
      </c>
      <c r="C88">
        <v>3</v>
      </c>
      <c r="D88" t="s">
        <v>396</v>
      </c>
      <c r="E88" t="s">
        <v>206</v>
      </c>
      <c r="F88">
        <v>16</v>
      </c>
      <c r="G88">
        <v>1</v>
      </c>
      <c r="H88">
        <v>3</v>
      </c>
      <c r="I88" t="s">
        <v>397</v>
      </c>
      <c r="J88">
        <v>34.375</v>
      </c>
      <c r="K88" t="s">
        <v>22</v>
      </c>
      <c r="L88" t="s">
        <v>208</v>
      </c>
    </row>
    <row r="89" spans="1:12" x14ac:dyDescent="0.3">
      <c r="A89">
        <v>88</v>
      </c>
      <c r="B89">
        <v>0</v>
      </c>
      <c r="C89">
        <v>3</v>
      </c>
      <c r="D89" t="s">
        <v>398</v>
      </c>
      <c r="E89" t="s">
        <v>206</v>
      </c>
      <c r="G89">
        <v>0</v>
      </c>
      <c r="H89">
        <v>0</v>
      </c>
      <c r="I89" t="s">
        <v>399</v>
      </c>
      <c r="J89">
        <v>8.0500000000000007</v>
      </c>
      <c r="K89" t="s">
        <v>22</v>
      </c>
      <c r="L89" t="s">
        <v>208</v>
      </c>
    </row>
    <row r="90" spans="1:12" x14ac:dyDescent="0.3">
      <c r="A90">
        <v>89</v>
      </c>
      <c r="B90">
        <v>1</v>
      </c>
      <c r="C90">
        <v>1</v>
      </c>
      <c r="D90" t="s">
        <v>400</v>
      </c>
      <c r="E90" t="s">
        <v>210</v>
      </c>
      <c r="F90">
        <v>23</v>
      </c>
      <c r="G90">
        <v>3</v>
      </c>
      <c r="H90">
        <v>2</v>
      </c>
      <c r="I90" t="s">
        <v>271</v>
      </c>
      <c r="J90">
        <v>263</v>
      </c>
      <c r="K90" t="s">
        <v>272</v>
      </c>
      <c r="L90" t="s">
        <v>208</v>
      </c>
    </row>
    <row r="91" spans="1:12" x14ac:dyDescent="0.3">
      <c r="A91">
        <v>90</v>
      </c>
      <c r="B91">
        <v>0</v>
      </c>
      <c r="C91">
        <v>3</v>
      </c>
      <c r="D91" t="s">
        <v>401</v>
      </c>
      <c r="E91" t="s">
        <v>206</v>
      </c>
      <c r="F91">
        <v>24</v>
      </c>
      <c r="G91">
        <v>0</v>
      </c>
      <c r="H91">
        <v>0</v>
      </c>
      <c r="I91" t="s">
        <v>402</v>
      </c>
      <c r="J91">
        <v>8.0500000000000007</v>
      </c>
      <c r="K91" t="s">
        <v>22</v>
      </c>
      <c r="L91" t="s">
        <v>208</v>
      </c>
    </row>
    <row r="92" spans="1:12" x14ac:dyDescent="0.3">
      <c r="A92">
        <v>91</v>
      </c>
      <c r="B92">
        <v>0</v>
      </c>
      <c r="C92">
        <v>3</v>
      </c>
      <c r="D92" t="s">
        <v>403</v>
      </c>
      <c r="E92" t="s">
        <v>206</v>
      </c>
      <c r="F92">
        <v>29</v>
      </c>
      <c r="G92">
        <v>0</v>
      </c>
      <c r="H92">
        <v>0</v>
      </c>
      <c r="I92" t="s">
        <v>404</v>
      </c>
      <c r="J92">
        <v>8.0500000000000007</v>
      </c>
      <c r="K92" t="s">
        <v>22</v>
      </c>
      <c r="L92" t="s">
        <v>208</v>
      </c>
    </row>
    <row r="93" spans="1:12" x14ac:dyDescent="0.3">
      <c r="A93">
        <v>92</v>
      </c>
      <c r="B93">
        <v>0</v>
      </c>
      <c r="C93">
        <v>3</v>
      </c>
      <c r="D93" t="s">
        <v>405</v>
      </c>
      <c r="E93" t="s">
        <v>206</v>
      </c>
      <c r="F93">
        <v>20</v>
      </c>
      <c r="G93">
        <v>0</v>
      </c>
      <c r="H93">
        <v>0</v>
      </c>
      <c r="I93" t="s">
        <v>406</v>
      </c>
      <c r="J93">
        <v>7.8541999999999996</v>
      </c>
      <c r="K93" t="s">
        <v>22</v>
      </c>
      <c r="L93" t="s">
        <v>208</v>
      </c>
    </row>
    <row r="94" spans="1:12" x14ac:dyDescent="0.3">
      <c r="A94">
        <v>93</v>
      </c>
      <c r="B94">
        <v>0</v>
      </c>
      <c r="C94">
        <v>1</v>
      </c>
      <c r="D94" t="s">
        <v>407</v>
      </c>
      <c r="E94" t="s">
        <v>206</v>
      </c>
      <c r="F94">
        <v>46</v>
      </c>
      <c r="G94">
        <v>1</v>
      </c>
      <c r="H94">
        <v>0</v>
      </c>
      <c r="I94" t="s">
        <v>408</v>
      </c>
      <c r="J94">
        <v>61.174999999999997</v>
      </c>
      <c r="K94" t="s">
        <v>409</v>
      </c>
      <c r="L94" t="s">
        <v>208</v>
      </c>
    </row>
    <row r="95" spans="1:12" x14ac:dyDescent="0.3">
      <c r="A95">
        <v>94</v>
      </c>
      <c r="B95">
        <v>0</v>
      </c>
      <c r="C95">
        <v>3</v>
      </c>
      <c r="D95" t="s">
        <v>410</v>
      </c>
      <c r="E95" t="s">
        <v>206</v>
      </c>
      <c r="F95">
        <v>26</v>
      </c>
      <c r="G95">
        <v>1</v>
      </c>
      <c r="H95">
        <v>2</v>
      </c>
      <c r="I95" t="s">
        <v>411</v>
      </c>
      <c r="J95">
        <v>20.574999999999999</v>
      </c>
      <c r="K95" t="s">
        <v>22</v>
      </c>
      <c r="L95" t="s">
        <v>208</v>
      </c>
    </row>
    <row r="96" spans="1:12" x14ac:dyDescent="0.3">
      <c r="A96">
        <v>95</v>
      </c>
      <c r="B96">
        <v>0</v>
      </c>
      <c r="C96">
        <v>3</v>
      </c>
      <c r="D96" t="s">
        <v>412</v>
      </c>
      <c r="E96" t="s">
        <v>206</v>
      </c>
      <c r="F96">
        <v>59</v>
      </c>
      <c r="G96">
        <v>0</v>
      </c>
      <c r="H96">
        <v>0</v>
      </c>
      <c r="I96" t="s">
        <v>413</v>
      </c>
      <c r="J96">
        <v>7.25</v>
      </c>
      <c r="K96" t="s">
        <v>22</v>
      </c>
      <c r="L96" t="s">
        <v>208</v>
      </c>
    </row>
    <row r="97" spans="1:12" x14ac:dyDescent="0.3">
      <c r="A97">
        <v>96</v>
      </c>
      <c r="B97">
        <v>0</v>
      </c>
      <c r="C97">
        <v>3</v>
      </c>
      <c r="D97" t="s">
        <v>414</v>
      </c>
      <c r="E97" t="s">
        <v>206</v>
      </c>
      <c r="G97">
        <v>0</v>
      </c>
      <c r="H97">
        <v>0</v>
      </c>
      <c r="I97" t="s">
        <v>415</v>
      </c>
      <c r="J97">
        <v>8.0500000000000007</v>
      </c>
      <c r="K97" t="s">
        <v>22</v>
      </c>
      <c r="L97" t="s">
        <v>208</v>
      </c>
    </row>
    <row r="98" spans="1:12" x14ac:dyDescent="0.3">
      <c r="A98">
        <v>97</v>
      </c>
      <c r="B98">
        <v>0</v>
      </c>
      <c r="C98">
        <v>1</v>
      </c>
      <c r="D98" t="s">
        <v>416</v>
      </c>
      <c r="E98" t="s">
        <v>206</v>
      </c>
      <c r="F98">
        <v>71</v>
      </c>
      <c r="G98">
        <v>0</v>
      </c>
      <c r="H98">
        <v>0</v>
      </c>
      <c r="I98" t="s">
        <v>417</v>
      </c>
      <c r="J98">
        <v>34.654200000000003</v>
      </c>
      <c r="K98" t="s">
        <v>418</v>
      </c>
      <c r="L98" t="s">
        <v>213</v>
      </c>
    </row>
    <row r="99" spans="1:12" x14ac:dyDescent="0.3">
      <c r="A99">
        <v>98</v>
      </c>
      <c r="B99">
        <v>1</v>
      </c>
      <c r="C99">
        <v>1</v>
      </c>
      <c r="D99" t="s">
        <v>419</v>
      </c>
      <c r="E99" t="s">
        <v>206</v>
      </c>
      <c r="F99">
        <v>23</v>
      </c>
      <c r="G99">
        <v>0</v>
      </c>
      <c r="H99">
        <v>1</v>
      </c>
      <c r="I99" t="s">
        <v>420</v>
      </c>
      <c r="J99">
        <v>63.3583</v>
      </c>
      <c r="K99" t="s">
        <v>421</v>
      </c>
      <c r="L99" t="s">
        <v>213</v>
      </c>
    </row>
    <row r="100" spans="1:12" x14ac:dyDescent="0.3">
      <c r="A100">
        <v>99</v>
      </c>
      <c r="B100">
        <v>1</v>
      </c>
      <c r="C100">
        <v>2</v>
      </c>
      <c r="D100" t="s">
        <v>422</v>
      </c>
      <c r="E100" t="s">
        <v>210</v>
      </c>
      <c r="F100">
        <v>34</v>
      </c>
      <c r="G100">
        <v>0</v>
      </c>
      <c r="H100">
        <v>1</v>
      </c>
      <c r="I100" t="s">
        <v>423</v>
      </c>
      <c r="J100">
        <v>23</v>
      </c>
      <c r="K100" t="s">
        <v>22</v>
      </c>
      <c r="L100" t="s">
        <v>208</v>
      </c>
    </row>
    <row r="101" spans="1:12" x14ac:dyDescent="0.3">
      <c r="A101">
        <v>100</v>
      </c>
      <c r="B101">
        <v>0</v>
      </c>
      <c r="C101">
        <v>2</v>
      </c>
      <c r="D101" t="s">
        <v>424</v>
      </c>
      <c r="E101" t="s">
        <v>206</v>
      </c>
      <c r="F101">
        <v>34</v>
      </c>
      <c r="G101">
        <v>1</v>
      </c>
      <c r="H101">
        <v>0</v>
      </c>
      <c r="I101" t="s">
        <v>425</v>
      </c>
      <c r="J101">
        <v>26</v>
      </c>
      <c r="K101" t="s">
        <v>22</v>
      </c>
      <c r="L101" t="s">
        <v>208</v>
      </c>
    </row>
    <row r="102" spans="1:12" x14ac:dyDescent="0.3">
      <c r="A102">
        <v>101</v>
      </c>
      <c r="B102">
        <v>0</v>
      </c>
      <c r="C102">
        <v>3</v>
      </c>
      <c r="D102" t="s">
        <v>426</v>
      </c>
      <c r="E102" t="s">
        <v>210</v>
      </c>
      <c r="F102">
        <v>28</v>
      </c>
      <c r="G102">
        <v>0</v>
      </c>
      <c r="H102">
        <v>0</v>
      </c>
      <c r="I102" t="s">
        <v>427</v>
      </c>
      <c r="J102">
        <v>7.8958000000000004</v>
      </c>
      <c r="K102" t="s">
        <v>22</v>
      </c>
      <c r="L102" t="s">
        <v>208</v>
      </c>
    </row>
    <row r="103" spans="1:12" x14ac:dyDescent="0.3">
      <c r="A103">
        <v>102</v>
      </c>
      <c r="B103">
        <v>0</v>
      </c>
      <c r="C103">
        <v>3</v>
      </c>
      <c r="D103" t="s">
        <v>428</v>
      </c>
      <c r="E103" t="s">
        <v>206</v>
      </c>
      <c r="G103">
        <v>0</v>
      </c>
      <c r="H103">
        <v>0</v>
      </c>
      <c r="I103" t="s">
        <v>429</v>
      </c>
      <c r="J103">
        <v>7.8958000000000004</v>
      </c>
      <c r="K103" t="s">
        <v>22</v>
      </c>
      <c r="L103" t="s">
        <v>208</v>
      </c>
    </row>
    <row r="104" spans="1:12" x14ac:dyDescent="0.3">
      <c r="A104">
        <v>103</v>
      </c>
      <c r="B104">
        <v>0</v>
      </c>
      <c r="C104">
        <v>1</v>
      </c>
      <c r="D104" t="s">
        <v>430</v>
      </c>
      <c r="E104" t="s">
        <v>206</v>
      </c>
      <c r="F104">
        <v>21</v>
      </c>
      <c r="G104">
        <v>0</v>
      </c>
      <c r="H104">
        <v>1</v>
      </c>
      <c r="I104" t="s">
        <v>431</v>
      </c>
      <c r="J104">
        <v>77.287499999999994</v>
      </c>
      <c r="K104" t="s">
        <v>432</v>
      </c>
      <c r="L104" t="s">
        <v>208</v>
      </c>
    </row>
    <row r="105" spans="1:12" x14ac:dyDescent="0.3">
      <c r="A105">
        <v>104</v>
      </c>
      <c r="B105">
        <v>0</v>
      </c>
      <c r="C105">
        <v>3</v>
      </c>
      <c r="D105" t="s">
        <v>433</v>
      </c>
      <c r="E105" t="s">
        <v>206</v>
      </c>
      <c r="F105">
        <v>33</v>
      </c>
      <c r="G105">
        <v>0</v>
      </c>
      <c r="H105">
        <v>0</v>
      </c>
      <c r="I105" t="s">
        <v>434</v>
      </c>
      <c r="J105">
        <v>8.6541999999999994</v>
      </c>
      <c r="K105" t="s">
        <v>22</v>
      </c>
      <c r="L105" t="s">
        <v>208</v>
      </c>
    </row>
    <row r="106" spans="1:12" x14ac:dyDescent="0.3">
      <c r="A106">
        <v>105</v>
      </c>
      <c r="B106">
        <v>0</v>
      </c>
      <c r="C106">
        <v>3</v>
      </c>
      <c r="D106" t="s">
        <v>435</v>
      </c>
      <c r="E106" t="s">
        <v>206</v>
      </c>
      <c r="F106">
        <v>37</v>
      </c>
      <c r="G106">
        <v>2</v>
      </c>
      <c r="H106">
        <v>0</v>
      </c>
      <c r="I106" t="s">
        <v>436</v>
      </c>
      <c r="J106">
        <v>7.9249999999999998</v>
      </c>
      <c r="K106" t="s">
        <v>22</v>
      </c>
      <c r="L106" t="s">
        <v>208</v>
      </c>
    </row>
    <row r="107" spans="1:12" x14ac:dyDescent="0.3">
      <c r="A107">
        <v>106</v>
      </c>
      <c r="B107">
        <v>0</v>
      </c>
      <c r="C107">
        <v>3</v>
      </c>
      <c r="D107" t="s">
        <v>437</v>
      </c>
      <c r="E107" t="s">
        <v>206</v>
      </c>
      <c r="F107">
        <v>28</v>
      </c>
      <c r="G107">
        <v>0</v>
      </c>
      <c r="H107">
        <v>0</v>
      </c>
      <c r="I107" t="s">
        <v>438</v>
      </c>
      <c r="J107">
        <v>7.8958000000000004</v>
      </c>
      <c r="K107" t="s">
        <v>22</v>
      </c>
      <c r="L107" t="s">
        <v>208</v>
      </c>
    </row>
    <row r="108" spans="1:12" x14ac:dyDescent="0.3">
      <c r="A108">
        <v>107</v>
      </c>
      <c r="B108">
        <v>1</v>
      </c>
      <c r="C108">
        <v>3</v>
      </c>
      <c r="D108" t="s">
        <v>439</v>
      </c>
      <c r="E108" t="s">
        <v>210</v>
      </c>
      <c r="F108">
        <v>21</v>
      </c>
      <c r="G108">
        <v>0</v>
      </c>
      <c r="H108">
        <v>0</v>
      </c>
      <c r="I108" t="s">
        <v>440</v>
      </c>
      <c r="J108">
        <v>7.65</v>
      </c>
      <c r="K108" t="s">
        <v>22</v>
      </c>
      <c r="L108" t="s">
        <v>208</v>
      </c>
    </row>
    <row r="109" spans="1:12" x14ac:dyDescent="0.3">
      <c r="A109">
        <v>108</v>
      </c>
      <c r="B109">
        <v>1</v>
      </c>
      <c r="C109">
        <v>3</v>
      </c>
      <c r="D109" t="s">
        <v>441</v>
      </c>
      <c r="E109" t="s">
        <v>206</v>
      </c>
      <c r="G109">
        <v>0</v>
      </c>
      <c r="H109">
        <v>0</v>
      </c>
      <c r="I109" t="s">
        <v>442</v>
      </c>
      <c r="J109">
        <v>7.7750000000000004</v>
      </c>
      <c r="K109" t="s">
        <v>22</v>
      </c>
      <c r="L109" t="s">
        <v>208</v>
      </c>
    </row>
    <row r="110" spans="1:12" x14ac:dyDescent="0.3">
      <c r="A110">
        <v>109</v>
      </c>
      <c r="B110">
        <v>0</v>
      </c>
      <c r="C110">
        <v>3</v>
      </c>
      <c r="D110" t="s">
        <v>443</v>
      </c>
      <c r="E110" t="s">
        <v>206</v>
      </c>
      <c r="F110">
        <v>38</v>
      </c>
      <c r="G110">
        <v>0</v>
      </c>
      <c r="H110">
        <v>0</v>
      </c>
      <c r="I110" t="s">
        <v>444</v>
      </c>
      <c r="J110">
        <v>7.8958000000000004</v>
      </c>
      <c r="K110" t="s">
        <v>22</v>
      </c>
      <c r="L110" t="s">
        <v>208</v>
      </c>
    </row>
    <row r="111" spans="1:12" x14ac:dyDescent="0.3">
      <c r="A111">
        <v>110</v>
      </c>
      <c r="B111">
        <v>1</v>
      </c>
      <c r="C111">
        <v>3</v>
      </c>
      <c r="D111" t="s">
        <v>445</v>
      </c>
      <c r="E111" t="s">
        <v>210</v>
      </c>
      <c r="G111">
        <v>1</v>
      </c>
      <c r="H111">
        <v>0</v>
      </c>
      <c r="I111" t="s">
        <v>446</v>
      </c>
      <c r="J111">
        <v>24.15</v>
      </c>
      <c r="K111" t="s">
        <v>22</v>
      </c>
      <c r="L111" t="s">
        <v>223</v>
      </c>
    </row>
    <row r="112" spans="1:12" x14ac:dyDescent="0.3">
      <c r="A112">
        <v>111</v>
      </c>
      <c r="B112">
        <v>0</v>
      </c>
      <c r="C112">
        <v>1</v>
      </c>
      <c r="D112" t="s">
        <v>447</v>
      </c>
      <c r="E112" t="s">
        <v>206</v>
      </c>
      <c r="F112">
        <v>47</v>
      </c>
      <c r="G112">
        <v>0</v>
      </c>
      <c r="H112">
        <v>0</v>
      </c>
      <c r="I112" t="s">
        <v>448</v>
      </c>
      <c r="J112">
        <v>52</v>
      </c>
      <c r="K112" t="s">
        <v>449</v>
      </c>
      <c r="L112" t="s">
        <v>208</v>
      </c>
    </row>
    <row r="113" spans="1:12" x14ac:dyDescent="0.3">
      <c r="A113">
        <v>112</v>
      </c>
      <c r="B113">
        <v>0</v>
      </c>
      <c r="C113">
        <v>3</v>
      </c>
      <c r="D113" t="s">
        <v>450</v>
      </c>
      <c r="E113" t="s">
        <v>210</v>
      </c>
      <c r="F113">
        <v>14.5</v>
      </c>
      <c r="G113">
        <v>1</v>
      </c>
      <c r="H113">
        <v>0</v>
      </c>
      <c r="I113" t="s">
        <v>451</v>
      </c>
      <c r="J113">
        <v>14.4542</v>
      </c>
      <c r="K113" t="s">
        <v>22</v>
      </c>
      <c r="L113" t="s">
        <v>213</v>
      </c>
    </row>
    <row r="114" spans="1:12" x14ac:dyDescent="0.3">
      <c r="A114">
        <v>113</v>
      </c>
      <c r="B114">
        <v>0</v>
      </c>
      <c r="C114">
        <v>3</v>
      </c>
      <c r="D114" t="s">
        <v>452</v>
      </c>
      <c r="E114" t="s">
        <v>206</v>
      </c>
      <c r="F114">
        <v>22</v>
      </c>
      <c r="G114">
        <v>0</v>
      </c>
      <c r="H114">
        <v>0</v>
      </c>
      <c r="I114" t="s">
        <v>453</v>
      </c>
      <c r="J114">
        <v>8.0500000000000007</v>
      </c>
      <c r="K114" t="s">
        <v>22</v>
      </c>
      <c r="L114" t="s">
        <v>208</v>
      </c>
    </row>
    <row r="115" spans="1:12" x14ac:dyDescent="0.3">
      <c r="A115">
        <v>114</v>
      </c>
      <c r="B115">
        <v>0</v>
      </c>
      <c r="C115">
        <v>3</v>
      </c>
      <c r="D115" t="s">
        <v>454</v>
      </c>
      <c r="E115" t="s">
        <v>210</v>
      </c>
      <c r="F115">
        <v>20</v>
      </c>
      <c r="G115">
        <v>1</v>
      </c>
      <c r="H115">
        <v>0</v>
      </c>
      <c r="I115" t="s">
        <v>455</v>
      </c>
      <c r="J115">
        <v>9.8249999999999993</v>
      </c>
      <c r="K115" t="s">
        <v>22</v>
      </c>
      <c r="L115" t="s">
        <v>208</v>
      </c>
    </row>
    <row r="116" spans="1:12" x14ac:dyDescent="0.3">
      <c r="A116">
        <v>115</v>
      </c>
      <c r="B116">
        <v>0</v>
      </c>
      <c r="C116">
        <v>3</v>
      </c>
      <c r="D116" t="s">
        <v>456</v>
      </c>
      <c r="E116" t="s">
        <v>210</v>
      </c>
      <c r="F116">
        <v>17</v>
      </c>
      <c r="G116">
        <v>0</v>
      </c>
      <c r="H116">
        <v>0</v>
      </c>
      <c r="I116" t="s">
        <v>457</v>
      </c>
      <c r="J116">
        <v>14.458299999999999</v>
      </c>
      <c r="K116" t="s">
        <v>22</v>
      </c>
      <c r="L116" t="s">
        <v>213</v>
      </c>
    </row>
    <row r="117" spans="1:12" x14ac:dyDescent="0.3">
      <c r="A117">
        <v>116</v>
      </c>
      <c r="B117">
        <v>0</v>
      </c>
      <c r="C117">
        <v>3</v>
      </c>
      <c r="D117" t="s">
        <v>458</v>
      </c>
      <c r="E117" t="s">
        <v>206</v>
      </c>
      <c r="F117">
        <v>21</v>
      </c>
      <c r="G117">
        <v>0</v>
      </c>
      <c r="H117">
        <v>0</v>
      </c>
      <c r="I117" t="s">
        <v>459</v>
      </c>
      <c r="J117">
        <v>7.9249999999999998</v>
      </c>
      <c r="K117" t="s">
        <v>22</v>
      </c>
      <c r="L117" t="s">
        <v>208</v>
      </c>
    </row>
    <row r="118" spans="1:12" x14ac:dyDescent="0.3">
      <c r="A118">
        <v>117</v>
      </c>
      <c r="B118">
        <v>0</v>
      </c>
      <c r="C118">
        <v>3</v>
      </c>
      <c r="D118" t="s">
        <v>460</v>
      </c>
      <c r="E118" t="s">
        <v>206</v>
      </c>
      <c r="F118">
        <v>70.5</v>
      </c>
      <c r="G118">
        <v>0</v>
      </c>
      <c r="H118">
        <v>0</v>
      </c>
      <c r="I118" t="s">
        <v>461</v>
      </c>
      <c r="J118">
        <v>7.75</v>
      </c>
      <c r="K118" t="s">
        <v>22</v>
      </c>
      <c r="L118" t="s">
        <v>223</v>
      </c>
    </row>
    <row r="119" spans="1:12" x14ac:dyDescent="0.3">
      <c r="A119">
        <v>118</v>
      </c>
      <c r="B119">
        <v>0</v>
      </c>
      <c r="C119">
        <v>2</v>
      </c>
      <c r="D119" t="s">
        <v>462</v>
      </c>
      <c r="E119" t="s">
        <v>206</v>
      </c>
      <c r="F119">
        <v>29</v>
      </c>
      <c r="G119">
        <v>1</v>
      </c>
      <c r="H119">
        <v>0</v>
      </c>
      <c r="I119" t="s">
        <v>301</v>
      </c>
      <c r="J119">
        <v>21</v>
      </c>
      <c r="K119" t="s">
        <v>22</v>
      </c>
      <c r="L119" t="s">
        <v>208</v>
      </c>
    </row>
    <row r="120" spans="1:12" x14ac:dyDescent="0.3">
      <c r="A120">
        <v>119</v>
      </c>
      <c r="B120">
        <v>0</v>
      </c>
      <c r="C120">
        <v>1</v>
      </c>
      <c r="D120" t="s">
        <v>463</v>
      </c>
      <c r="E120" t="s">
        <v>206</v>
      </c>
      <c r="F120">
        <v>24</v>
      </c>
      <c r="G120">
        <v>0</v>
      </c>
      <c r="H120">
        <v>1</v>
      </c>
      <c r="I120" t="s">
        <v>464</v>
      </c>
      <c r="J120">
        <v>247.52080000000001</v>
      </c>
      <c r="K120" t="s">
        <v>465</v>
      </c>
      <c r="L120" t="s">
        <v>213</v>
      </c>
    </row>
    <row r="121" spans="1:12" x14ac:dyDescent="0.3">
      <c r="A121">
        <v>120</v>
      </c>
      <c r="B121">
        <v>0</v>
      </c>
      <c r="C121">
        <v>3</v>
      </c>
      <c r="D121" t="s">
        <v>466</v>
      </c>
      <c r="E121" t="s">
        <v>210</v>
      </c>
      <c r="F121">
        <v>2</v>
      </c>
      <c r="G121">
        <v>4</v>
      </c>
      <c r="H121">
        <v>2</v>
      </c>
      <c r="I121" t="s">
        <v>242</v>
      </c>
      <c r="J121">
        <v>31.274999999999999</v>
      </c>
      <c r="K121" t="s">
        <v>22</v>
      </c>
      <c r="L121" t="s">
        <v>208</v>
      </c>
    </row>
    <row r="122" spans="1:12" x14ac:dyDescent="0.3">
      <c r="A122">
        <v>121</v>
      </c>
      <c r="B122">
        <v>0</v>
      </c>
      <c r="C122">
        <v>2</v>
      </c>
      <c r="D122" t="s">
        <v>467</v>
      </c>
      <c r="E122" t="s">
        <v>206</v>
      </c>
      <c r="F122">
        <v>21</v>
      </c>
      <c r="G122">
        <v>2</v>
      </c>
      <c r="H122">
        <v>0</v>
      </c>
      <c r="I122" t="s">
        <v>368</v>
      </c>
      <c r="J122">
        <v>73.5</v>
      </c>
      <c r="K122" t="s">
        <v>22</v>
      </c>
      <c r="L122" t="s">
        <v>208</v>
      </c>
    </row>
    <row r="123" spans="1:12" x14ac:dyDescent="0.3">
      <c r="A123">
        <v>122</v>
      </c>
      <c r="B123">
        <v>0</v>
      </c>
      <c r="C123">
        <v>3</v>
      </c>
      <c r="D123" t="s">
        <v>468</v>
      </c>
      <c r="E123" t="s">
        <v>206</v>
      </c>
      <c r="G123">
        <v>0</v>
      </c>
      <c r="H123">
        <v>0</v>
      </c>
      <c r="I123" t="s">
        <v>469</v>
      </c>
      <c r="J123">
        <v>8.0500000000000007</v>
      </c>
      <c r="K123" t="s">
        <v>22</v>
      </c>
      <c r="L123" t="s">
        <v>208</v>
      </c>
    </row>
    <row r="124" spans="1:12" x14ac:dyDescent="0.3">
      <c r="A124">
        <v>123</v>
      </c>
      <c r="B124">
        <v>0</v>
      </c>
      <c r="C124">
        <v>2</v>
      </c>
      <c r="D124" t="s">
        <v>470</v>
      </c>
      <c r="E124" t="s">
        <v>206</v>
      </c>
      <c r="F124">
        <v>32.5</v>
      </c>
      <c r="G124">
        <v>1</v>
      </c>
      <c r="H124">
        <v>0</v>
      </c>
      <c r="I124" t="s">
        <v>232</v>
      </c>
      <c r="J124">
        <v>30.070799999999998</v>
      </c>
      <c r="K124" t="s">
        <v>22</v>
      </c>
      <c r="L124" t="s">
        <v>213</v>
      </c>
    </row>
    <row r="125" spans="1:12" x14ac:dyDescent="0.3">
      <c r="A125">
        <v>124</v>
      </c>
      <c r="B125">
        <v>1</v>
      </c>
      <c r="C125">
        <v>2</v>
      </c>
      <c r="D125" t="s">
        <v>471</v>
      </c>
      <c r="E125" t="s">
        <v>210</v>
      </c>
      <c r="F125">
        <v>32.5</v>
      </c>
      <c r="G125">
        <v>0</v>
      </c>
      <c r="H125">
        <v>0</v>
      </c>
      <c r="I125" t="s">
        <v>472</v>
      </c>
      <c r="J125">
        <v>13</v>
      </c>
      <c r="K125" t="s">
        <v>473</v>
      </c>
      <c r="L125" t="s">
        <v>208</v>
      </c>
    </row>
    <row r="126" spans="1:12" x14ac:dyDescent="0.3">
      <c r="A126">
        <v>125</v>
      </c>
      <c r="B126">
        <v>0</v>
      </c>
      <c r="C126">
        <v>1</v>
      </c>
      <c r="D126" t="s">
        <v>474</v>
      </c>
      <c r="E126" t="s">
        <v>206</v>
      </c>
      <c r="F126">
        <v>54</v>
      </c>
      <c r="G126">
        <v>0</v>
      </c>
      <c r="H126">
        <v>1</v>
      </c>
      <c r="I126" t="s">
        <v>431</v>
      </c>
      <c r="J126">
        <v>77.287499999999994</v>
      </c>
      <c r="K126" t="s">
        <v>432</v>
      </c>
      <c r="L126" t="s">
        <v>208</v>
      </c>
    </row>
    <row r="127" spans="1:12" x14ac:dyDescent="0.3">
      <c r="A127">
        <v>126</v>
      </c>
      <c r="B127">
        <v>1</v>
      </c>
      <c r="C127">
        <v>3</v>
      </c>
      <c r="D127" t="s">
        <v>475</v>
      </c>
      <c r="E127" t="s">
        <v>206</v>
      </c>
      <c r="F127">
        <v>12</v>
      </c>
      <c r="G127">
        <v>1</v>
      </c>
      <c r="H127">
        <v>0</v>
      </c>
      <c r="I127" t="s">
        <v>297</v>
      </c>
      <c r="J127">
        <v>11.2417</v>
      </c>
      <c r="K127" t="s">
        <v>22</v>
      </c>
      <c r="L127" t="s">
        <v>213</v>
      </c>
    </row>
    <row r="128" spans="1:12" x14ac:dyDescent="0.3">
      <c r="A128">
        <v>127</v>
      </c>
      <c r="B128">
        <v>0</v>
      </c>
      <c r="C128">
        <v>3</v>
      </c>
      <c r="D128" t="s">
        <v>476</v>
      </c>
      <c r="E128" t="s">
        <v>206</v>
      </c>
      <c r="G128">
        <v>0</v>
      </c>
      <c r="H128">
        <v>0</v>
      </c>
      <c r="I128" t="s">
        <v>477</v>
      </c>
      <c r="J128">
        <v>7.75</v>
      </c>
      <c r="K128" t="s">
        <v>22</v>
      </c>
      <c r="L128" t="s">
        <v>223</v>
      </c>
    </row>
    <row r="129" spans="1:12" x14ac:dyDescent="0.3">
      <c r="A129">
        <v>128</v>
      </c>
      <c r="B129">
        <v>1</v>
      </c>
      <c r="C129">
        <v>3</v>
      </c>
      <c r="D129" t="s">
        <v>478</v>
      </c>
      <c r="E129" t="s">
        <v>206</v>
      </c>
      <c r="F129">
        <v>24</v>
      </c>
      <c r="G129">
        <v>0</v>
      </c>
      <c r="H129">
        <v>0</v>
      </c>
      <c r="I129" t="s">
        <v>479</v>
      </c>
      <c r="J129">
        <v>7.1417000000000002</v>
      </c>
      <c r="K129" t="s">
        <v>22</v>
      </c>
      <c r="L129" t="s">
        <v>208</v>
      </c>
    </row>
    <row r="130" spans="1:12" x14ac:dyDescent="0.3">
      <c r="A130">
        <v>129</v>
      </c>
      <c r="B130">
        <v>1</v>
      </c>
      <c r="C130">
        <v>3</v>
      </c>
      <c r="D130" t="s">
        <v>480</v>
      </c>
      <c r="E130" t="s">
        <v>210</v>
      </c>
      <c r="G130">
        <v>1</v>
      </c>
      <c r="H130">
        <v>1</v>
      </c>
      <c r="I130" t="s">
        <v>481</v>
      </c>
      <c r="J130">
        <v>22.3583</v>
      </c>
      <c r="K130" t="s">
        <v>482</v>
      </c>
      <c r="L130" t="s">
        <v>213</v>
      </c>
    </row>
    <row r="131" spans="1:12" x14ac:dyDescent="0.3">
      <c r="A131">
        <v>130</v>
      </c>
      <c r="B131">
        <v>0</v>
      </c>
      <c r="C131">
        <v>3</v>
      </c>
      <c r="D131" t="s">
        <v>483</v>
      </c>
      <c r="E131" t="s">
        <v>206</v>
      </c>
      <c r="F131">
        <v>45</v>
      </c>
      <c r="G131">
        <v>0</v>
      </c>
      <c r="H131">
        <v>0</v>
      </c>
      <c r="I131" t="s">
        <v>484</v>
      </c>
      <c r="J131">
        <v>6.9749999999999996</v>
      </c>
      <c r="K131" t="s">
        <v>22</v>
      </c>
      <c r="L131" t="s">
        <v>208</v>
      </c>
    </row>
    <row r="132" spans="1:12" x14ac:dyDescent="0.3">
      <c r="A132">
        <v>131</v>
      </c>
      <c r="B132">
        <v>0</v>
      </c>
      <c r="C132">
        <v>3</v>
      </c>
      <c r="D132" t="s">
        <v>485</v>
      </c>
      <c r="E132" t="s">
        <v>206</v>
      </c>
      <c r="F132">
        <v>33</v>
      </c>
      <c r="G132">
        <v>0</v>
      </c>
      <c r="H132">
        <v>0</v>
      </c>
      <c r="I132" t="s">
        <v>486</v>
      </c>
      <c r="J132">
        <v>7.8958000000000004</v>
      </c>
      <c r="K132" t="s">
        <v>22</v>
      </c>
      <c r="L132" t="s">
        <v>213</v>
      </c>
    </row>
    <row r="133" spans="1:12" x14ac:dyDescent="0.3">
      <c r="A133">
        <v>132</v>
      </c>
      <c r="B133">
        <v>0</v>
      </c>
      <c r="C133">
        <v>3</v>
      </c>
      <c r="D133" t="s">
        <v>487</v>
      </c>
      <c r="E133" t="s">
        <v>206</v>
      </c>
      <c r="F133">
        <v>20</v>
      </c>
      <c r="G133">
        <v>0</v>
      </c>
      <c r="H133">
        <v>0</v>
      </c>
      <c r="I133" t="s">
        <v>488</v>
      </c>
      <c r="J133">
        <v>7.05</v>
      </c>
      <c r="K133" t="s">
        <v>22</v>
      </c>
      <c r="L133" t="s">
        <v>208</v>
      </c>
    </row>
    <row r="134" spans="1:12" x14ac:dyDescent="0.3">
      <c r="A134">
        <v>133</v>
      </c>
      <c r="B134">
        <v>0</v>
      </c>
      <c r="C134">
        <v>3</v>
      </c>
      <c r="D134" t="s">
        <v>489</v>
      </c>
      <c r="E134" t="s">
        <v>210</v>
      </c>
      <c r="F134">
        <v>47</v>
      </c>
      <c r="G134">
        <v>1</v>
      </c>
      <c r="H134">
        <v>0</v>
      </c>
      <c r="I134" t="s">
        <v>490</v>
      </c>
      <c r="J134">
        <v>14.5</v>
      </c>
      <c r="K134" t="s">
        <v>22</v>
      </c>
      <c r="L134" t="s">
        <v>208</v>
      </c>
    </row>
    <row r="135" spans="1:12" x14ac:dyDescent="0.3">
      <c r="A135">
        <v>134</v>
      </c>
      <c r="B135">
        <v>1</v>
      </c>
      <c r="C135">
        <v>2</v>
      </c>
      <c r="D135" t="s">
        <v>491</v>
      </c>
      <c r="E135" t="s">
        <v>210</v>
      </c>
      <c r="F135">
        <v>29</v>
      </c>
      <c r="G135">
        <v>1</v>
      </c>
      <c r="H135">
        <v>0</v>
      </c>
      <c r="I135" t="s">
        <v>492</v>
      </c>
      <c r="J135">
        <v>26</v>
      </c>
      <c r="K135" t="s">
        <v>22</v>
      </c>
      <c r="L135" t="s">
        <v>208</v>
      </c>
    </row>
    <row r="136" spans="1:12" x14ac:dyDescent="0.3">
      <c r="A136">
        <v>135</v>
      </c>
      <c r="B136">
        <v>0</v>
      </c>
      <c r="C136">
        <v>2</v>
      </c>
      <c r="D136" t="s">
        <v>493</v>
      </c>
      <c r="E136" t="s">
        <v>206</v>
      </c>
      <c r="F136">
        <v>25</v>
      </c>
      <c r="G136">
        <v>0</v>
      </c>
      <c r="H136">
        <v>0</v>
      </c>
      <c r="I136" t="s">
        <v>494</v>
      </c>
      <c r="J136">
        <v>13</v>
      </c>
      <c r="K136" t="s">
        <v>22</v>
      </c>
      <c r="L136" t="s">
        <v>208</v>
      </c>
    </row>
    <row r="137" spans="1:12" x14ac:dyDescent="0.3">
      <c r="A137">
        <v>136</v>
      </c>
      <c r="B137">
        <v>0</v>
      </c>
      <c r="C137">
        <v>2</v>
      </c>
      <c r="D137" t="s">
        <v>495</v>
      </c>
      <c r="E137" t="s">
        <v>206</v>
      </c>
      <c r="F137">
        <v>23</v>
      </c>
      <c r="G137">
        <v>0</v>
      </c>
      <c r="H137">
        <v>0</v>
      </c>
      <c r="I137" t="s">
        <v>496</v>
      </c>
      <c r="J137">
        <v>15.0458</v>
      </c>
      <c r="K137" t="s">
        <v>22</v>
      </c>
      <c r="L137" t="s">
        <v>213</v>
      </c>
    </row>
    <row r="138" spans="1:12" x14ac:dyDescent="0.3">
      <c r="A138">
        <v>137</v>
      </c>
      <c r="B138">
        <v>1</v>
      </c>
      <c r="C138">
        <v>1</v>
      </c>
      <c r="D138" t="s">
        <v>497</v>
      </c>
      <c r="E138" t="s">
        <v>210</v>
      </c>
      <c r="F138">
        <v>19</v>
      </c>
      <c r="G138">
        <v>0</v>
      </c>
      <c r="H138">
        <v>2</v>
      </c>
      <c r="I138" t="s">
        <v>498</v>
      </c>
      <c r="J138">
        <v>26.283300000000001</v>
      </c>
      <c r="K138" t="s">
        <v>499</v>
      </c>
      <c r="L138" t="s">
        <v>208</v>
      </c>
    </row>
    <row r="139" spans="1:12" x14ac:dyDescent="0.3">
      <c r="A139">
        <v>138</v>
      </c>
      <c r="B139">
        <v>0</v>
      </c>
      <c r="C139">
        <v>1</v>
      </c>
      <c r="D139" t="s">
        <v>500</v>
      </c>
      <c r="E139" t="s">
        <v>206</v>
      </c>
      <c r="F139">
        <v>37</v>
      </c>
      <c r="G139">
        <v>1</v>
      </c>
      <c r="H139">
        <v>0</v>
      </c>
      <c r="I139" t="s">
        <v>217</v>
      </c>
      <c r="J139">
        <v>53.1</v>
      </c>
      <c r="K139" t="s">
        <v>218</v>
      </c>
      <c r="L139" t="s">
        <v>208</v>
      </c>
    </row>
    <row r="140" spans="1:12" x14ac:dyDescent="0.3">
      <c r="A140">
        <v>139</v>
      </c>
      <c r="B140">
        <v>0</v>
      </c>
      <c r="C140">
        <v>3</v>
      </c>
      <c r="D140" t="s">
        <v>501</v>
      </c>
      <c r="E140" t="s">
        <v>206</v>
      </c>
      <c r="F140">
        <v>16</v>
      </c>
      <c r="G140">
        <v>0</v>
      </c>
      <c r="H140">
        <v>0</v>
      </c>
      <c r="I140" t="s">
        <v>502</v>
      </c>
      <c r="J140">
        <v>9.2166999999999994</v>
      </c>
      <c r="K140" t="s">
        <v>22</v>
      </c>
      <c r="L140" t="s">
        <v>208</v>
      </c>
    </row>
    <row r="141" spans="1:12" x14ac:dyDescent="0.3">
      <c r="A141">
        <v>140</v>
      </c>
      <c r="B141">
        <v>0</v>
      </c>
      <c r="C141">
        <v>1</v>
      </c>
      <c r="D141" t="s">
        <v>503</v>
      </c>
      <c r="E141" t="s">
        <v>206</v>
      </c>
      <c r="F141">
        <v>24</v>
      </c>
      <c r="G141">
        <v>0</v>
      </c>
      <c r="H141">
        <v>0</v>
      </c>
      <c r="I141" t="s">
        <v>504</v>
      </c>
      <c r="J141">
        <v>79.2</v>
      </c>
      <c r="K141" t="s">
        <v>505</v>
      </c>
      <c r="L141" t="s">
        <v>213</v>
      </c>
    </row>
    <row r="142" spans="1:12" x14ac:dyDescent="0.3">
      <c r="A142">
        <v>141</v>
      </c>
      <c r="B142">
        <v>0</v>
      </c>
      <c r="C142">
        <v>3</v>
      </c>
      <c r="D142" t="s">
        <v>506</v>
      </c>
      <c r="E142" t="s">
        <v>210</v>
      </c>
      <c r="G142">
        <v>0</v>
      </c>
      <c r="H142">
        <v>2</v>
      </c>
      <c r="I142" t="s">
        <v>507</v>
      </c>
      <c r="J142">
        <v>15.245799999999999</v>
      </c>
      <c r="K142" t="s">
        <v>22</v>
      </c>
      <c r="L142" t="s">
        <v>213</v>
      </c>
    </row>
    <row r="143" spans="1:12" x14ac:dyDescent="0.3">
      <c r="A143">
        <v>142</v>
      </c>
      <c r="B143">
        <v>1</v>
      </c>
      <c r="C143">
        <v>3</v>
      </c>
      <c r="D143" t="s">
        <v>508</v>
      </c>
      <c r="E143" t="s">
        <v>210</v>
      </c>
      <c r="F143">
        <v>22</v>
      </c>
      <c r="G143">
        <v>0</v>
      </c>
      <c r="H143">
        <v>0</v>
      </c>
      <c r="I143" t="s">
        <v>509</v>
      </c>
      <c r="J143">
        <v>7.75</v>
      </c>
      <c r="K143" t="s">
        <v>22</v>
      </c>
      <c r="L143" t="s">
        <v>208</v>
      </c>
    </row>
    <row r="144" spans="1:12" x14ac:dyDescent="0.3">
      <c r="A144">
        <v>143</v>
      </c>
      <c r="B144">
        <v>1</v>
      </c>
      <c r="C144">
        <v>3</v>
      </c>
      <c r="D144" t="s">
        <v>510</v>
      </c>
      <c r="E144" t="s">
        <v>210</v>
      </c>
      <c r="F144">
        <v>24</v>
      </c>
      <c r="G144">
        <v>1</v>
      </c>
      <c r="H144">
        <v>0</v>
      </c>
      <c r="I144" t="s">
        <v>511</v>
      </c>
      <c r="J144">
        <v>15.85</v>
      </c>
      <c r="K144" t="s">
        <v>22</v>
      </c>
      <c r="L144" t="s">
        <v>208</v>
      </c>
    </row>
    <row r="145" spans="1:12" x14ac:dyDescent="0.3">
      <c r="A145">
        <v>144</v>
      </c>
      <c r="B145">
        <v>0</v>
      </c>
      <c r="C145">
        <v>3</v>
      </c>
      <c r="D145" t="s">
        <v>512</v>
      </c>
      <c r="E145" t="s">
        <v>206</v>
      </c>
      <c r="F145">
        <v>19</v>
      </c>
      <c r="G145">
        <v>0</v>
      </c>
      <c r="H145">
        <v>0</v>
      </c>
      <c r="I145" t="s">
        <v>513</v>
      </c>
      <c r="J145">
        <v>6.75</v>
      </c>
      <c r="K145" t="s">
        <v>22</v>
      </c>
      <c r="L145" t="s">
        <v>223</v>
      </c>
    </row>
    <row r="146" spans="1:12" x14ac:dyDescent="0.3">
      <c r="A146">
        <v>145</v>
      </c>
      <c r="B146">
        <v>0</v>
      </c>
      <c r="C146">
        <v>2</v>
      </c>
      <c r="D146" t="s">
        <v>514</v>
      </c>
      <c r="E146" t="s">
        <v>206</v>
      </c>
      <c r="F146">
        <v>18</v>
      </c>
      <c r="G146">
        <v>0</v>
      </c>
      <c r="H146">
        <v>0</v>
      </c>
      <c r="I146" t="s">
        <v>515</v>
      </c>
      <c r="J146">
        <v>11.5</v>
      </c>
      <c r="K146" t="s">
        <v>22</v>
      </c>
      <c r="L146" t="s">
        <v>208</v>
      </c>
    </row>
    <row r="147" spans="1:12" x14ac:dyDescent="0.3">
      <c r="A147">
        <v>146</v>
      </c>
      <c r="B147">
        <v>0</v>
      </c>
      <c r="C147">
        <v>2</v>
      </c>
      <c r="D147" t="s">
        <v>516</v>
      </c>
      <c r="E147" t="s">
        <v>206</v>
      </c>
      <c r="F147">
        <v>19</v>
      </c>
      <c r="G147">
        <v>1</v>
      </c>
      <c r="H147">
        <v>1</v>
      </c>
      <c r="I147" t="s">
        <v>517</v>
      </c>
      <c r="J147">
        <v>36.75</v>
      </c>
      <c r="K147" t="s">
        <v>22</v>
      </c>
      <c r="L147" t="s">
        <v>208</v>
      </c>
    </row>
    <row r="148" spans="1:12" x14ac:dyDescent="0.3">
      <c r="A148">
        <v>147</v>
      </c>
      <c r="B148">
        <v>1</v>
      </c>
      <c r="C148">
        <v>3</v>
      </c>
      <c r="D148" t="s">
        <v>518</v>
      </c>
      <c r="E148" t="s">
        <v>206</v>
      </c>
      <c r="F148">
        <v>27</v>
      </c>
      <c r="G148">
        <v>0</v>
      </c>
      <c r="H148">
        <v>0</v>
      </c>
      <c r="I148" t="s">
        <v>519</v>
      </c>
      <c r="J148">
        <v>7.7957999999999998</v>
      </c>
      <c r="K148" t="s">
        <v>22</v>
      </c>
      <c r="L148" t="s">
        <v>208</v>
      </c>
    </row>
    <row r="149" spans="1:12" x14ac:dyDescent="0.3">
      <c r="A149">
        <v>148</v>
      </c>
      <c r="B149">
        <v>0</v>
      </c>
      <c r="C149">
        <v>3</v>
      </c>
      <c r="D149" t="s">
        <v>520</v>
      </c>
      <c r="E149" t="s">
        <v>210</v>
      </c>
      <c r="F149">
        <v>9</v>
      </c>
      <c r="G149">
        <v>2</v>
      </c>
      <c r="H149">
        <v>2</v>
      </c>
      <c r="I149" t="s">
        <v>397</v>
      </c>
      <c r="J149">
        <v>34.375</v>
      </c>
      <c r="K149" t="s">
        <v>22</v>
      </c>
      <c r="L149" t="s">
        <v>208</v>
      </c>
    </row>
    <row r="150" spans="1:12" x14ac:dyDescent="0.3">
      <c r="A150">
        <v>149</v>
      </c>
      <c r="B150">
        <v>0</v>
      </c>
      <c r="C150">
        <v>2</v>
      </c>
      <c r="D150" t="s">
        <v>521</v>
      </c>
      <c r="E150" t="s">
        <v>206</v>
      </c>
      <c r="F150">
        <v>36.5</v>
      </c>
      <c r="G150">
        <v>0</v>
      </c>
      <c r="H150">
        <v>2</v>
      </c>
      <c r="I150" t="s">
        <v>522</v>
      </c>
      <c r="J150">
        <v>26</v>
      </c>
      <c r="K150" t="s">
        <v>523</v>
      </c>
      <c r="L150" t="s">
        <v>208</v>
      </c>
    </row>
    <row r="151" spans="1:12" x14ac:dyDescent="0.3">
      <c r="A151">
        <v>150</v>
      </c>
      <c r="B151">
        <v>0</v>
      </c>
      <c r="C151">
        <v>2</v>
      </c>
      <c r="D151" t="s">
        <v>524</v>
      </c>
      <c r="E151" t="s">
        <v>206</v>
      </c>
      <c r="F151">
        <v>42</v>
      </c>
      <c r="G151">
        <v>0</v>
      </c>
      <c r="H151">
        <v>0</v>
      </c>
      <c r="I151" t="s">
        <v>525</v>
      </c>
      <c r="J151">
        <v>13</v>
      </c>
      <c r="K151" t="s">
        <v>22</v>
      </c>
      <c r="L151" t="s">
        <v>208</v>
      </c>
    </row>
    <row r="152" spans="1:12" x14ac:dyDescent="0.3">
      <c r="A152">
        <v>151</v>
      </c>
      <c r="B152">
        <v>0</v>
      </c>
      <c r="C152">
        <v>2</v>
      </c>
      <c r="D152" t="s">
        <v>526</v>
      </c>
      <c r="E152" t="s">
        <v>206</v>
      </c>
      <c r="F152">
        <v>51</v>
      </c>
      <c r="G152">
        <v>0</v>
      </c>
      <c r="H152">
        <v>0</v>
      </c>
      <c r="I152" t="s">
        <v>527</v>
      </c>
      <c r="J152">
        <v>12.525</v>
      </c>
      <c r="K152" t="s">
        <v>22</v>
      </c>
      <c r="L152" t="s">
        <v>208</v>
      </c>
    </row>
    <row r="153" spans="1:12" x14ac:dyDescent="0.3">
      <c r="A153">
        <v>152</v>
      </c>
      <c r="B153">
        <v>1</v>
      </c>
      <c r="C153">
        <v>1</v>
      </c>
      <c r="D153" t="s">
        <v>528</v>
      </c>
      <c r="E153" t="s">
        <v>210</v>
      </c>
      <c r="F153">
        <v>22</v>
      </c>
      <c r="G153">
        <v>1</v>
      </c>
      <c r="H153">
        <v>0</v>
      </c>
      <c r="I153" t="s">
        <v>529</v>
      </c>
      <c r="J153">
        <v>66.599999999999994</v>
      </c>
      <c r="K153" t="s">
        <v>530</v>
      </c>
      <c r="L153" t="s">
        <v>208</v>
      </c>
    </row>
    <row r="154" spans="1:12" x14ac:dyDescent="0.3">
      <c r="A154">
        <v>153</v>
      </c>
      <c r="B154">
        <v>0</v>
      </c>
      <c r="C154">
        <v>3</v>
      </c>
      <c r="D154" t="s">
        <v>531</v>
      </c>
      <c r="E154" t="s">
        <v>206</v>
      </c>
      <c r="F154">
        <v>55.5</v>
      </c>
      <c r="G154">
        <v>0</v>
      </c>
      <c r="H154">
        <v>0</v>
      </c>
      <c r="I154" t="s">
        <v>532</v>
      </c>
      <c r="J154">
        <v>8.0500000000000007</v>
      </c>
      <c r="K154" t="s">
        <v>22</v>
      </c>
      <c r="L154" t="s">
        <v>208</v>
      </c>
    </row>
    <row r="155" spans="1:12" x14ac:dyDescent="0.3">
      <c r="A155">
        <v>154</v>
      </c>
      <c r="B155">
        <v>0</v>
      </c>
      <c r="C155">
        <v>3</v>
      </c>
      <c r="D155" t="s">
        <v>533</v>
      </c>
      <c r="E155" t="s">
        <v>206</v>
      </c>
      <c r="F155">
        <v>40.5</v>
      </c>
      <c r="G155">
        <v>0</v>
      </c>
      <c r="H155">
        <v>2</v>
      </c>
      <c r="I155" t="s">
        <v>534</v>
      </c>
      <c r="J155">
        <v>14.5</v>
      </c>
      <c r="K155" t="s">
        <v>22</v>
      </c>
      <c r="L155" t="s">
        <v>208</v>
      </c>
    </row>
    <row r="156" spans="1:12" x14ac:dyDescent="0.3">
      <c r="A156">
        <v>155</v>
      </c>
      <c r="B156">
        <v>0</v>
      </c>
      <c r="C156">
        <v>3</v>
      </c>
      <c r="D156" t="s">
        <v>535</v>
      </c>
      <c r="E156" t="s">
        <v>206</v>
      </c>
      <c r="G156">
        <v>0</v>
      </c>
      <c r="H156">
        <v>0</v>
      </c>
      <c r="I156" t="s">
        <v>536</v>
      </c>
      <c r="J156">
        <v>7.3125</v>
      </c>
      <c r="K156" t="s">
        <v>22</v>
      </c>
      <c r="L156" t="s">
        <v>208</v>
      </c>
    </row>
    <row r="157" spans="1:12" x14ac:dyDescent="0.3">
      <c r="A157">
        <v>156</v>
      </c>
      <c r="B157">
        <v>0</v>
      </c>
      <c r="C157">
        <v>1</v>
      </c>
      <c r="D157" t="s">
        <v>537</v>
      </c>
      <c r="E157" t="s">
        <v>206</v>
      </c>
      <c r="F157">
        <v>51</v>
      </c>
      <c r="G157">
        <v>0</v>
      </c>
      <c r="H157">
        <v>1</v>
      </c>
      <c r="I157" t="s">
        <v>538</v>
      </c>
      <c r="J157">
        <v>61.379199999999997</v>
      </c>
      <c r="K157" t="s">
        <v>22</v>
      </c>
      <c r="L157" t="s">
        <v>213</v>
      </c>
    </row>
    <row r="158" spans="1:12" x14ac:dyDescent="0.3">
      <c r="A158">
        <v>157</v>
      </c>
      <c r="B158">
        <v>1</v>
      </c>
      <c r="C158">
        <v>3</v>
      </c>
      <c r="D158" t="s">
        <v>539</v>
      </c>
      <c r="E158" t="s">
        <v>210</v>
      </c>
      <c r="F158">
        <v>16</v>
      </c>
      <c r="G158">
        <v>0</v>
      </c>
      <c r="H158">
        <v>0</v>
      </c>
      <c r="I158" t="s">
        <v>540</v>
      </c>
      <c r="J158">
        <v>7.7332999999999998</v>
      </c>
      <c r="K158" t="s">
        <v>22</v>
      </c>
      <c r="L158" t="s">
        <v>223</v>
      </c>
    </row>
    <row r="159" spans="1:12" x14ac:dyDescent="0.3">
      <c r="A159">
        <v>158</v>
      </c>
      <c r="B159">
        <v>0</v>
      </c>
      <c r="C159">
        <v>3</v>
      </c>
      <c r="D159" t="s">
        <v>541</v>
      </c>
      <c r="E159" t="s">
        <v>206</v>
      </c>
      <c r="F159">
        <v>30</v>
      </c>
      <c r="G159">
        <v>0</v>
      </c>
      <c r="H159">
        <v>0</v>
      </c>
      <c r="I159" t="s">
        <v>542</v>
      </c>
      <c r="J159">
        <v>8.0500000000000007</v>
      </c>
      <c r="K159" t="s">
        <v>22</v>
      </c>
      <c r="L159" t="s">
        <v>208</v>
      </c>
    </row>
    <row r="160" spans="1:12" x14ac:dyDescent="0.3">
      <c r="A160">
        <v>159</v>
      </c>
      <c r="B160">
        <v>0</v>
      </c>
      <c r="C160">
        <v>3</v>
      </c>
      <c r="D160" t="s">
        <v>543</v>
      </c>
      <c r="E160" t="s">
        <v>206</v>
      </c>
      <c r="G160">
        <v>0</v>
      </c>
      <c r="H160">
        <v>0</v>
      </c>
      <c r="I160" t="s">
        <v>544</v>
      </c>
      <c r="J160">
        <v>8.6624999999999996</v>
      </c>
      <c r="K160" t="s">
        <v>22</v>
      </c>
      <c r="L160" t="s">
        <v>208</v>
      </c>
    </row>
    <row r="161" spans="1:12" x14ac:dyDescent="0.3">
      <c r="A161">
        <v>160</v>
      </c>
      <c r="B161">
        <v>0</v>
      </c>
      <c r="C161">
        <v>3</v>
      </c>
      <c r="D161" t="s">
        <v>545</v>
      </c>
      <c r="E161" t="s">
        <v>206</v>
      </c>
      <c r="G161">
        <v>8</v>
      </c>
      <c r="H161">
        <v>2</v>
      </c>
      <c r="I161" t="s">
        <v>546</v>
      </c>
      <c r="J161">
        <v>69.55</v>
      </c>
      <c r="K161" t="s">
        <v>22</v>
      </c>
      <c r="L161" t="s">
        <v>208</v>
      </c>
    </row>
    <row r="162" spans="1:12" x14ac:dyDescent="0.3">
      <c r="A162">
        <v>161</v>
      </c>
      <c r="B162">
        <v>0</v>
      </c>
      <c r="C162">
        <v>3</v>
      </c>
      <c r="D162" t="s">
        <v>547</v>
      </c>
      <c r="E162" t="s">
        <v>206</v>
      </c>
      <c r="F162">
        <v>44</v>
      </c>
      <c r="G162">
        <v>0</v>
      </c>
      <c r="H162">
        <v>1</v>
      </c>
      <c r="I162" t="s">
        <v>548</v>
      </c>
      <c r="J162">
        <v>16.100000000000001</v>
      </c>
      <c r="K162" t="s">
        <v>22</v>
      </c>
      <c r="L162" t="s">
        <v>208</v>
      </c>
    </row>
    <row r="163" spans="1:12" x14ac:dyDescent="0.3">
      <c r="A163">
        <v>162</v>
      </c>
      <c r="B163">
        <v>1</v>
      </c>
      <c r="C163">
        <v>2</v>
      </c>
      <c r="D163" t="s">
        <v>549</v>
      </c>
      <c r="E163" t="s">
        <v>210</v>
      </c>
      <c r="F163">
        <v>40</v>
      </c>
      <c r="G163">
        <v>0</v>
      </c>
      <c r="H163">
        <v>0</v>
      </c>
      <c r="I163" t="s">
        <v>550</v>
      </c>
      <c r="J163">
        <v>15.75</v>
      </c>
      <c r="K163" t="s">
        <v>22</v>
      </c>
      <c r="L163" t="s">
        <v>208</v>
      </c>
    </row>
    <row r="164" spans="1:12" x14ac:dyDescent="0.3">
      <c r="A164">
        <v>163</v>
      </c>
      <c r="B164">
        <v>0</v>
      </c>
      <c r="C164">
        <v>3</v>
      </c>
      <c r="D164" t="s">
        <v>551</v>
      </c>
      <c r="E164" t="s">
        <v>206</v>
      </c>
      <c r="F164">
        <v>26</v>
      </c>
      <c r="G164">
        <v>0</v>
      </c>
      <c r="H164">
        <v>0</v>
      </c>
      <c r="I164" t="s">
        <v>552</v>
      </c>
      <c r="J164">
        <v>7.7750000000000004</v>
      </c>
      <c r="K164" t="s">
        <v>22</v>
      </c>
      <c r="L164" t="s">
        <v>208</v>
      </c>
    </row>
    <row r="165" spans="1:12" x14ac:dyDescent="0.3">
      <c r="A165">
        <v>164</v>
      </c>
      <c r="B165">
        <v>0</v>
      </c>
      <c r="C165">
        <v>3</v>
      </c>
      <c r="D165" t="s">
        <v>553</v>
      </c>
      <c r="E165" t="s">
        <v>206</v>
      </c>
      <c r="F165">
        <v>17</v>
      </c>
      <c r="G165">
        <v>0</v>
      </c>
      <c r="H165">
        <v>0</v>
      </c>
      <c r="I165" t="s">
        <v>554</v>
      </c>
      <c r="J165">
        <v>8.6624999999999996</v>
      </c>
      <c r="K165" t="s">
        <v>22</v>
      </c>
      <c r="L165" t="s">
        <v>208</v>
      </c>
    </row>
    <row r="166" spans="1:12" x14ac:dyDescent="0.3">
      <c r="A166">
        <v>165</v>
      </c>
      <c r="B166">
        <v>0</v>
      </c>
      <c r="C166">
        <v>3</v>
      </c>
      <c r="D166" t="s">
        <v>555</v>
      </c>
      <c r="E166" t="s">
        <v>206</v>
      </c>
      <c r="F166">
        <v>1</v>
      </c>
      <c r="G166">
        <v>4</v>
      </c>
      <c r="H166">
        <v>1</v>
      </c>
      <c r="I166" t="s">
        <v>319</v>
      </c>
      <c r="J166">
        <v>39.6875</v>
      </c>
      <c r="K166" t="s">
        <v>22</v>
      </c>
      <c r="L166" t="s">
        <v>208</v>
      </c>
    </row>
    <row r="167" spans="1:12" x14ac:dyDescent="0.3">
      <c r="A167">
        <v>166</v>
      </c>
      <c r="B167">
        <v>1</v>
      </c>
      <c r="C167">
        <v>3</v>
      </c>
      <c r="D167" t="s">
        <v>556</v>
      </c>
      <c r="E167" t="s">
        <v>206</v>
      </c>
      <c r="F167">
        <v>9</v>
      </c>
      <c r="G167">
        <v>0</v>
      </c>
      <c r="H167">
        <v>2</v>
      </c>
      <c r="I167" t="s">
        <v>557</v>
      </c>
      <c r="J167">
        <v>20.524999999999999</v>
      </c>
      <c r="K167" t="s">
        <v>22</v>
      </c>
      <c r="L167" t="s">
        <v>208</v>
      </c>
    </row>
    <row r="168" spans="1:12" x14ac:dyDescent="0.3">
      <c r="A168">
        <v>167</v>
      </c>
      <c r="B168">
        <v>1</v>
      </c>
      <c r="C168">
        <v>1</v>
      </c>
      <c r="D168" t="s">
        <v>558</v>
      </c>
      <c r="E168" t="s">
        <v>210</v>
      </c>
      <c r="G168">
        <v>0</v>
      </c>
      <c r="H168">
        <v>1</v>
      </c>
      <c r="I168" t="s">
        <v>559</v>
      </c>
      <c r="J168">
        <v>55</v>
      </c>
      <c r="K168" t="s">
        <v>560</v>
      </c>
      <c r="L168" t="s">
        <v>208</v>
      </c>
    </row>
    <row r="169" spans="1:12" x14ac:dyDescent="0.3">
      <c r="A169">
        <v>168</v>
      </c>
      <c r="B169">
        <v>0</v>
      </c>
      <c r="C169">
        <v>3</v>
      </c>
      <c r="D169" t="s">
        <v>561</v>
      </c>
      <c r="E169" t="s">
        <v>210</v>
      </c>
      <c r="F169">
        <v>45</v>
      </c>
      <c r="G169">
        <v>1</v>
      </c>
      <c r="H169">
        <v>4</v>
      </c>
      <c r="I169" t="s">
        <v>350</v>
      </c>
      <c r="J169">
        <v>27.9</v>
      </c>
      <c r="K169" t="s">
        <v>22</v>
      </c>
      <c r="L169" t="s">
        <v>208</v>
      </c>
    </row>
    <row r="170" spans="1:12" x14ac:dyDescent="0.3">
      <c r="A170">
        <v>169</v>
      </c>
      <c r="B170">
        <v>0</v>
      </c>
      <c r="C170">
        <v>1</v>
      </c>
      <c r="D170" t="s">
        <v>562</v>
      </c>
      <c r="E170" t="s">
        <v>206</v>
      </c>
      <c r="G170">
        <v>0</v>
      </c>
      <c r="H170">
        <v>0</v>
      </c>
      <c r="I170" t="s">
        <v>563</v>
      </c>
      <c r="J170">
        <v>25.925000000000001</v>
      </c>
      <c r="K170" t="s">
        <v>22</v>
      </c>
      <c r="L170" t="s">
        <v>208</v>
      </c>
    </row>
    <row r="171" spans="1:12" x14ac:dyDescent="0.3">
      <c r="A171">
        <v>170</v>
      </c>
      <c r="B171">
        <v>0</v>
      </c>
      <c r="C171">
        <v>3</v>
      </c>
      <c r="D171" t="s">
        <v>564</v>
      </c>
      <c r="E171" t="s">
        <v>206</v>
      </c>
      <c r="F171">
        <v>28</v>
      </c>
      <c r="G171">
        <v>0</v>
      </c>
      <c r="H171">
        <v>0</v>
      </c>
      <c r="I171" t="s">
        <v>372</v>
      </c>
      <c r="J171">
        <v>56.495800000000003</v>
      </c>
      <c r="K171" t="s">
        <v>22</v>
      </c>
      <c r="L171" t="s">
        <v>208</v>
      </c>
    </row>
    <row r="172" spans="1:12" x14ac:dyDescent="0.3">
      <c r="A172">
        <v>171</v>
      </c>
      <c r="B172">
        <v>0</v>
      </c>
      <c r="C172">
        <v>1</v>
      </c>
      <c r="D172" t="s">
        <v>565</v>
      </c>
      <c r="E172" t="s">
        <v>206</v>
      </c>
      <c r="F172">
        <v>61</v>
      </c>
      <c r="G172">
        <v>0</v>
      </c>
      <c r="H172">
        <v>0</v>
      </c>
      <c r="I172" t="s">
        <v>566</v>
      </c>
      <c r="J172">
        <v>33.5</v>
      </c>
      <c r="K172" t="s">
        <v>567</v>
      </c>
      <c r="L172" t="s">
        <v>208</v>
      </c>
    </row>
    <row r="173" spans="1:12" x14ac:dyDescent="0.3">
      <c r="A173">
        <v>172</v>
      </c>
      <c r="B173">
        <v>0</v>
      </c>
      <c r="C173">
        <v>3</v>
      </c>
      <c r="D173" t="s">
        <v>568</v>
      </c>
      <c r="E173" t="s">
        <v>206</v>
      </c>
      <c r="F173">
        <v>4</v>
      </c>
      <c r="G173">
        <v>4</v>
      </c>
      <c r="H173">
        <v>1</v>
      </c>
      <c r="I173" t="s">
        <v>248</v>
      </c>
      <c r="J173">
        <v>29.125</v>
      </c>
      <c r="K173" t="s">
        <v>22</v>
      </c>
      <c r="L173" t="s">
        <v>223</v>
      </c>
    </row>
    <row r="174" spans="1:12" x14ac:dyDescent="0.3">
      <c r="A174">
        <v>173</v>
      </c>
      <c r="B174">
        <v>1</v>
      </c>
      <c r="C174">
        <v>3</v>
      </c>
      <c r="D174" t="s">
        <v>569</v>
      </c>
      <c r="E174" t="s">
        <v>210</v>
      </c>
      <c r="F174">
        <v>1</v>
      </c>
      <c r="G174">
        <v>1</v>
      </c>
      <c r="H174">
        <v>1</v>
      </c>
      <c r="I174" t="s">
        <v>230</v>
      </c>
      <c r="J174">
        <v>11.1333</v>
      </c>
      <c r="K174" t="s">
        <v>22</v>
      </c>
      <c r="L174" t="s">
        <v>208</v>
      </c>
    </row>
    <row r="175" spans="1:12" x14ac:dyDescent="0.3">
      <c r="A175">
        <v>174</v>
      </c>
      <c r="B175">
        <v>0</v>
      </c>
      <c r="C175">
        <v>3</v>
      </c>
      <c r="D175" t="s">
        <v>570</v>
      </c>
      <c r="E175" t="s">
        <v>206</v>
      </c>
      <c r="F175">
        <v>21</v>
      </c>
      <c r="G175">
        <v>0</v>
      </c>
      <c r="H175">
        <v>0</v>
      </c>
      <c r="I175" t="s">
        <v>571</v>
      </c>
      <c r="J175">
        <v>7.9249999999999998</v>
      </c>
      <c r="K175" t="s">
        <v>22</v>
      </c>
      <c r="L175" t="s">
        <v>208</v>
      </c>
    </row>
    <row r="176" spans="1:12" x14ac:dyDescent="0.3">
      <c r="A176">
        <v>175</v>
      </c>
      <c r="B176">
        <v>0</v>
      </c>
      <c r="C176">
        <v>1</v>
      </c>
      <c r="D176" t="s">
        <v>572</v>
      </c>
      <c r="E176" t="s">
        <v>206</v>
      </c>
      <c r="F176">
        <v>56</v>
      </c>
      <c r="G176">
        <v>0</v>
      </c>
      <c r="H176">
        <v>0</v>
      </c>
      <c r="I176" t="s">
        <v>573</v>
      </c>
      <c r="J176">
        <v>30.695799999999998</v>
      </c>
      <c r="K176" t="s">
        <v>574</v>
      </c>
      <c r="L176" t="s">
        <v>213</v>
      </c>
    </row>
    <row r="177" spans="1:12" x14ac:dyDescent="0.3">
      <c r="A177">
        <v>176</v>
      </c>
      <c r="B177">
        <v>0</v>
      </c>
      <c r="C177">
        <v>3</v>
      </c>
      <c r="D177" t="s">
        <v>575</v>
      </c>
      <c r="E177" t="s">
        <v>206</v>
      </c>
      <c r="F177">
        <v>18</v>
      </c>
      <c r="G177">
        <v>1</v>
      </c>
      <c r="H177">
        <v>1</v>
      </c>
      <c r="I177" t="s">
        <v>576</v>
      </c>
      <c r="J177">
        <v>7.8541999999999996</v>
      </c>
      <c r="K177" t="s">
        <v>22</v>
      </c>
      <c r="L177" t="s">
        <v>208</v>
      </c>
    </row>
    <row r="178" spans="1:12" x14ac:dyDescent="0.3">
      <c r="A178">
        <v>177</v>
      </c>
      <c r="B178">
        <v>0</v>
      </c>
      <c r="C178">
        <v>3</v>
      </c>
      <c r="D178" t="s">
        <v>577</v>
      </c>
      <c r="E178" t="s">
        <v>206</v>
      </c>
      <c r="G178">
        <v>3</v>
      </c>
      <c r="H178">
        <v>1</v>
      </c>
      <c r="I178" t="s">
        <v>578</v>
      </c>
      <c r="J178">
        <v>25.466699999999999</v>
      </c>
      <c r="K178" t="s">
        <v>22</v>
      </c>
      <c r="L178" t="s">
        <v>208</v>
      </c>
    </row>
    <row r="179" spans="1:12" x14ac:dyDescent="0.3">
      <c r="A179">
        <v>178</v>
      </c>
      <c r="B179">
        <v>0</v>
      </c>
      <c r="C179">
        <v>1</v>
      </c>
      <c r="D179" t="s">
        <v>579</v>
      </c>
      <c r="E179" t="s">
        <v>210</v>
      </c>
      <c r="F179">
        <v>50</v>
      </c>
      <c r="G179">
        <v>0</v>
      </c>
      <c r="H179">
        <v>0</v>
      </c>
      <c r="I179" t="s">
        <v>580</v>
      </c>
      <c r="J179">
        <v>28.712499999999999</v>
      </c>
      <c r="K179" t="s">
        <v>581</v>
      </c>
      <c r="L179" t="s">
        <v>213</v>
      </c>
    </row>
    <row r="180" spans="1:12" x14ac:dyDescent="0.3">
      <c r="A180">
        <v>179</v>
      </c>
      <c r="B180">
        <v>0</v>
      </c>
      <c r="C180">
        <v>2</v>
      </c>
      <c r="D180" t="s">
        <v>582</v>
      </c>
      <c r="E180" t="s">
        <v>206</v>
      </c>
      <c r="F180">
        <v>30</v>
      </c>
      <c r="G180">
        <v>0</v>
      </c>
      <c r="H180">
        <v>0</v>
      </c>
      <c r="I180" t="s">
        <v>583</v>
      </c>
      <c r="J180">
        <v>13</v>
      </c>
      <c r="K180" t="s">
        <v>22</v>
      </c>
      <c r="L180" t="s">
        <v>208</v>
      </c>
    </row>
    <row r="181" spans="1:12" x14ac:dyDescent="0.3">
      <c r="A181">
        <v>180</v>
      </c>
      <c r="B181">
        <v>0</v>
      </c>
      <c r="C181">
        <v>3</v>
      </c>
      <c r="D181" t="s">
        <v>584</v>
      </c>
      <c r="E181" t="s">
        <v>206</v>
      </c>
      <c r="F181">
        <v>36</v>
      </c>
      <c r="G181">
        <v>0</v>
      </c>
      <c r="H181">
        <v>0</v>
      </c>
      <c r="I181" t="s">
        <v>585</v>
      </c>
      <c r="J181">
        <v>0</v>
      </c>
      <c r="K181" t="s">
        <v>22</v>
      </c>
      <c r="L181" t="s">
        <v>208</v>
      </c>
    </row>
    <row r="182" spans="1:12" x14ac:dyDescent="0.3">
      <c r="A182">
        <v>181</v>
      </c>
      <c r="B182">
        <v>0</v>
      </c>
      <c r="C182">
        <v>3</v>
      </c>
      <c r="D182" t="s">
        <v>586</v>
      </c>
      <c r="E182" t="s">
        <v>210</v>
      </c>
      <c r="G182">
        <v>8</v>
      </c>
      <c r="H182">
        <v>2</v>
      </c>
      <c r="I182" t="s">
        <v>546</v>
      </c>
      <c r="J182">
        <v>69.55</v>
      </c>
      <c r="K182" t="s">
        <v>22</v>
      </c>
      <c r="L182" t="s">
        <v>208</v>
      </c>
    </row>
    <row r="183" spans="1:12" x14ac:dyDescent="0.3">
      <c r="A183">
        <v>182</v>
      </c>
      <c r="B183">
        <v>0</v>
      </c>
      <c r="C183">
        <v>2</v>
      </c>
      <c r="D183" t="s">
        <v>587</v>
      </c>
      <c r="E183" t="s">
        <v>206</v>
      </c>
      <c r="G183">
        <v>0</v>
      </c>
      <c r="H183">
        <v>0</v>
      </c>
      <c r="I183" t="s">
        <v>588</v>
      </c>
      <c r="J183">
        <v>15.05</v>
      </c>
      <c r="K183" t="s">
        <v>22</v>
      </c>
      <c r="L183" t="s">
        <v>213</v>
      </c>
    </row>
    <row r="184" spans="1:12" x14ac:dyDescent="0.3">
      <c r="A184">
        <v>183</v>
      </c>
      <c r="B184">
        <v>0</v>
      </c>
      <c r="C184">
        <v>3</v>
      </c>
      <c r="D184" t="s">
        <v>589</v>
      </c>
      <c r="E184" t="s">
        <v>206</v>
      </c>
      <c r="F184">
        <v>9</v>
      </c>
      <c r="G184">
        <v>4</v>
      </c>
      <c r="H184">
        <v>2</v>
      </c>
      <c r="I184" t="s">
        <v>267</v>
      </c>
      <c r="J184">
        <v>31.387499999999999</v>
      </c>
      <c r="K184" t="s">
        <v>22</v>
      </c>
      <c r="L184" t="s">
        <v>208</v>
      </c>
    </row>
    <row r="185" spans="1:12" x14ac:dyDescent="0.3">
      <c r="A185">
        <v>184</v>
      </c>
      <c r="B185">
        <v>1</v>
      </c>
      <c r="C185">
        <v>2</v>
      </c>
      <c r="D185" t="s">
        <v>590</v>
      </c>
      <c r="E185" t="s">
        <v>206</v>
      </c>
      <c r="F185">
        <v>1</v>
      </c>
      <c r="G185">
        <v>2</v>
      </c>
      <c r="H185">
        <v>1</v>
      </c>
      <c r="I185" t="s">
        <v>591</v>
      </c>
      <c r="J185">
        <v>39</v>
      </c>
      <c r="K185" t="s">
        <v>592</v>
      </c>
      <c r="L185" t="s">
        <v>208</v>
      </c>
    </row>
    <row r="186" spans="1:12" x14ac:dyDescent="0.3">
      <c r="A186">
        <v>185</v>
      </c>
      <c r="B186">
        <v>1</v>
      </c>
      <c r="C186">
        <v>3</v>
      </c>
      <c r="D186" t="s">
        <v>593</v>
      </c>
      <c r="E186" t="s">
        <v>210</v>
      </c>
      <c r="F186">
        <v>4</v>
      </c>
      <c r="G186">
        <v>0</v>
      </c>
      <c r="H186">
        <v>2</v>
      </c>
      <c r="I186" t="s">
        <v>594</v>
      </c>
      <c r="J186">
        <v>22.024999999999999</v>
      </c>
      <c r="K186" t="s">
        <v>22</v>
      </c>
      <c r="L186" t="s">
        <v>208</v>
      </c>
    </row>
    <row r="187" spans="1:12" x14ac:dyDescent="0.3">
      <c r="A187">
        <v>186</v>
      </c>
      <c r="B187">
        <v>0</v>
      </c>
      <c r="C187">
        <v>1</v>
      </c>
      <c r="D187" t="s">
        <v>595</v>
      </c>
      <c r="E187" t="s">
        <v>206</v>
      </c>
      <c r="G187">
        <v>0</v>
      </c>
      <c r="H187">
        <v>0</v>
      </c>
      <c r="I187" t="s">
        <v>596</v>
      </c>
      <c r="J187">
        <v>50</v>
      </c>
      <c r="K187" t="s">
        <v>597</v>
      </c>
      <c r="L187" t="s">
        <v>208</v>
      </c>
    </row>
    <row r="188" spans="1:12" x14ac:dyDescent="0.3">
      <c r="A188">
        <v>187</v>
      </c>
      <c r="B188">
        <v>1</v>
      </c>
      <c r="C188">
        <v>3</v>
      </c>
      <c r="D188" t="s">
        <v>598</v>
      </c>
      <c r="E188" t="s">
        <v>210</v>
      </c>
      <c r="G188">
        <v>1</v>
      </c>
      <c r="H188">
        <v>0</v>
      </c>
      <c r="I188" t="s">
        <v>599</v>
      </c>
      <c r="J188">
        <v>15.5</v>
      </c>
      <c r="K188" t="s">
        <v>22</v>
      </c>
      <c r="L188" t="s">
        <v>223</v>
      </c>
    </row>
    <row r="189" spans="1:12" x14ac:dyDescent="0.3">
      <c r="A189">
        <v>188</v>
      </c>
      <c r="B189">
        <v>1</v>
      </c>
      <c r="C189">
        <v>1</v>
      </c>
      <c r="D189" t="s">
        <v>600</v>
      </c>
      <c r="E189" t="s">
        <v>206</v>
      </c>
      <c r="F189">
        <v>45</v>
      </c>
      <c r="G189">
        <v>0</v>
      </c>
      <c r="H189">
        <v>0</v>
      </c>
      <c r="I189" t="s">
        <v>601</v>
      </c>
      <c r="J189">
        <v>26.55</v>
      </c>
      <c r="K189" t="s">
        <v>22</v>
      </c>
      <c r="L189" t="s">
        <v>208</v>
      </c>
    </row>
    <row r="190" spans="1:12" x14ac:dyDescent="0.3">
      <c r="A190">
        <v>189</v>
      </c>
      <c r="B190">
        <v>0</v>
      </c>
      <c r="C190">
        <v>3</v>
      </c>
      <c r="D190" t="s">
        <v>602</v>
      </c>
      <c r="E190" t="s">
        <v>206</v>
      </c>
      <c r="F190">
        <v>40</v>
      </c>
      <c r="G190">
        <v>1</v>
      </c>
      <c r="H190">
        <v>1</v>
      </c>
      <c r="I190" t="s">
        <v>603</v>
      </c>
      <c r="J190">
        <v>15.5</v>
      </c>
      <c r="K190" t="s">
        <v>22</v>
      </c>
      <c r="L190" t="s">
        <v>223</v>
      </c>
    </row>
    <row r="191" spans="1:12" x14ac:dyDescent="0.3">
      <c r="A191">
        <v>190</v>
      </c>
      <c r="B191">
        <v>0</v>
      </c>
      <c r="C191">
        <v>3</v>
      </c>
      <c r="D191" t="s">
        <v>604</v>
      </c>
      <c r="E191" t="s">
        <v>206</v>
      </c>
      <c r="F191">
        <v>36</v>
      </c>
      <c r="G191">
        <v>0</v>
      </c>
      <c r="H191">
        <v>0</v>
      </c>
      <c r="I191" t="s">
        <v>605</v>
      </c>
      <c r="J191">
        <v>7.8958000000000004</v>
      </c>
      <c r="K191" t="s">
        <v>22</v>
      </c>
      <c r="L191" t="s">
        <v>208</v>
      </c>
    </row>
    <row r="192" spans="1:12" x14ac:dyDescent="0.3">
      <c r="A192">
        <v>191</v>
      </c>
      <c r="B192">
        <v>1</v>
      </c>
      <c r="C192">
        <v>2</v>
      </c>
      <c r="D192" t="s">
        <v>606</v>
      </c>
      <c r="E192" t="s">
        <v>210</v>
      </c>
      <c r="F192">
        <v>32</v>
      </c>
      <c r="G192">
        <v>0</v>
      </c>
      <c r="H192">
        <v>0</v>
      </c>
      <c r="I192" t="s">
        <v>607</v>
      </c>
      <c r="J192">
        <v>13</v>
      </c>
      <c r="K192" t="s">
        <v>22</v>
      </c>
      <c r="L192" t="s">
        <v>208</v>
      </c>
    </row>
    <row r="193" spans="1:12" x14ac:dyDescent="0.3">
      <c r="A193">
        <v>192</v>
      </c>
      <c r="B193">
        <v>0</v>
      </c>
      <c r="C193">
        <v>2</v>
      </c>
      <c r="D193" t="s">
        <v>608</v>
      </c>
      <c r="E193" t="s">
        <v>206</v>
      </c>
      <c r="F193">
        <v>19</v>
      </c>
      <c r="G193">
        <v>0</v>
      </c>
      <c r="H193">
        <v>0</v>
      </c>
      <c r="I193" t="s">
        <v>609</v>
      </c>
      <c r="J193">
        <v>13</v>
      </c>
      <c r="K193" t="s">
        <v>22</v>
      </c>
      <c r="L193" t="s">
        <v>208</v>
      </c>
    </row>
    <row r="194" spans="1:12" x14ac:dyDescent="0.3">
      <c r="A194">
        <v>193</v>
      </c>
      <c r="B194">
        <v>1</v>
      </c>
      <c r="C194">
        <v>3</v>
      </c>
      <c r="D194" t="s">
        <v>610</v>
      </c>
      <c r="E194" t="s">
        <v>210</v>
      </c>
      <c r="F194">
        <v>19</v>
      </c>
      <c r="G194">
        <v>1</v>
      </c>
      <c r="H194">
        <v>0</v>
      </c>
      <c r="I194" t="s">
        <v>611</v>
      </c>
      <c r="J194">
        <v>7.8541999999999996</v>
      </c>
      <c r="K194" t="s">
        <v>22</v>
      </c>
      <c r="L194" t="s">
        <v>208</v>
      </c>
    </row>
    <row r="195" spans="1:12" x14ac:dyDescent="0.3">
      <c r="A195">
        <v>194</v>
      </c>
      <c r="B195">
        <v>1</v>
      </c>
      <c r="C195">
        <v>2</v>
      </c>
      <c r="D195" t="s">
        <v>612</v>
      </c>
      <c r="E195" t="s">
        <v>206</v>
      </c>
      <c r="F195">
        <v>3</v>
      </c>
      <c r="G195">
        <v>1</v>
      </c>
      <c r="H195">
        <v>1</v>
      </c>
      <c r="I195" t="s">
        <v>522</v>
      </c>
      <c r="J195">
        <v>26</v>
      </c>
      <c r="K195" t="s">
        <v>523</v>
      </c>
      <c r="L195" t="s">
        <v>208</v>
      </c>
    </row>
    <row r="196" spans="1:12" x14ac:dyDescent="0.3">
      <c r="A196">
        <v>195</v>
      </c>
      <c r="B196">
        <v>1</v>
      </c>
      <c r="C196">
        <v>1</v>
      </c>
      <c r="D196" t="s">
        <v>613</v>
      </c>
      <c r="E196" t="s">
        <v>210</v>
      </c>
      <c r="F196">
        <v>44</v>
      </c>
      <c r="G196">
        <v>0</v>
      </c>
      <c r="H196">
        <v>0</v>
      </c>
      <c r="I196" t="s">
        <v>614</v>
      </c>
      <c r="J196">
        <v>27.720800000000001</v>
      </c>
      <c r="K196" t="s">
        <v>615</v>
      </c>
      <c r="L196" t="s">
        <v>213</v>
      </c>
    </row>
    <row r="197" spans="1:12" x14ac:dyDescent="0.3">
      <c r="A197">
        <v>196</v>
      </c>
      <c r="B197">
        <v>1</v>
      </c>
      <c r="C197">
        <v>1</v>
      </c>
      <c r="D197" t="s">
        <v>616</v>
      </c>
      <c r="E197" t="s">
        <v>210</v>
      </c>
      <c r="F197">
        <v>58</v>
      </c>
      <c r="G197">
        <v>0</v>
      </c>
      <c r="H197">
        <v>0</v>
      </c>
      <c r="I197" t="s">
        <v>280</v>
      </c>
      <c r="J197">
        <v>146.52080000000001</v>
      </c>
      <c r="K197" t="s">
        <v>617</v>
      </c>
      <c r="L197" t="s">
        <v>213</v>
      </c>
    </row>
    <row r="198" spans="1:12" x14ac:dyDescent="0.3">
      <c r="A198">
        <v>197</v>
      </c>
      <c r="B198">
        <v>0</v>
      </c>
      <c r="C198">
        <v>3</v>
      </c>
      <c r="D198" t="s">
        <v>618</v>
      </c>
      <c r="E198" t="s">
        <v>206</v>
      </c>
      <c r="G198">
        <v>0</v>
      </c>
      <c r="H198">
        <v>0</v>
      </c>
      <c r="I198" t="s">
        <v>619</v>
      </c>
      <c r="J198">
        <v>7.75</v>
      </c>
      <c r="K198" t="s">
        <v>22</v>
      </c>
      <c r="L198" t="s">
        <v>223</v>
      </c>
    </row>
    <row r="199" spans="1:12" x14ac:dyDescent="0.3">
      <c r="A199">
        <v>198</v>
      </c>
      <c r="B199">
        <v>0</v>
      </c>
      <c r="C199">
        <v>3</v>
      </c>
      <c r="D199" t="s">
        <v>620</v>
      </c>
      <c r="E199" t="s">
        <v>206</v>
      </c>
      <c r="F199">
        <v>42</v>
      </c>
      <c r="G199">
        <v>0</v>
      </c>
      <c r="H199">
        <v>1</v>
      </c>
      <c r="I199" t="s">
        <v>621</v>
      </c>
      <c r="J199">
        <v>8.4041999999999994</v>
      </c>
      <c r="K199" t="s">
        <v>22</v>
      </c>
      <c r="L199" t="s">
        <v>208</v>
      </c>
    </row>
    <row r="200" spans="1:12" x14ac:dyDescent="0.3">
      <c r="A200">
        <v>199</v>
      </c>
      <c r="B200">
        <v>1</v>
      </c>
      <c r="C200">
        <v>3</v>
      </c>
      <c r="D200" t="s">
        <v>622</v>
      </c>
      <c r="E200" t="s">
        <v>210</v>
      </c>
      <c r="G200">
        <v>0</v>
      </c>
      <c r="H200">
        <v>0</v>
      </c>
      <c r="I200" t="s">
        <v>623</v>
      </c>
      <c r="J200">
        <v>7.75</v>
      </c>
      <c r="K200" t="s">
        <v>22</v>
      </c>
      <c r="L200" t="s">
        <v>223</v>
      </c>
    </row>
    <row r="201" spans="1:12" x14ac:dyDescent="0.3">
      <c r="A201">
        <v>200</v>
      </c>
      <c r="B201">
        <v>0</v>
      </c>
      <c r="C201">
        <v>2</v>
      </c>
      <c r="D201" t="s">
        <v>624</v>
      </c>
      <c r="E201" t="s">
        <v>210</v>
      </c>
      <c r="F201">
        <v>24</v>
      </c>
      <c r="G201">
        <v>0</v>
      </c>
      <c r="H201">
        <v>0</v>
      </c>
      <c r="I201" t="s">
        <v>625</v>
      </c>
      <c r="J201">
        <v>13</v>
      </c>
      <c r="K201" t="s">
        <v>22</v>
      </c>
      <c r="L201" t="s">
        <v>208</v>
      </c>
    </row>
    <row r="202" spans="1:12" x14ac:dyDescent="0.3">
      <c r="A202">
        <v>201</v>
      </c>
      <c r="B202">
        <v>0</v>
      </c>
      <c r="C202">
        <v>3</v>
      </c>
      <c r="D202" t="s">
        <v>626</v>
      </c>
      <c r="E202" t="s">
        <v>206</v>
      </c>
      <c r="F202">
        <v>28</v>
      </c>
      <c r="G202">
        <v>0</v>
      </c>
      <c r="H202">
        <v>0</v>
      </c>
      <c r="I202" t="s">
        <v>627</v>
      </c>
      <c r="J202">
        <v>9.5</v>
      </c>
      <c r="K202" t="s">
        <v>22</v>
      </c>
      <c r="L202" t="s">
        <v>208</v>
      </c>
    </row>
    <row r="203" spans="1:12" x14ac:dyDescent="0.3">
      <c r="A203">
        <v>202</v>
      </c>
      <c r="B203">
        <v>0</v>
      </c>
      <c r="C203">
        <v>3</v>
      </c>
      <c r="D203" t="s">
        <v>628</v>
      </c>
      <c r="E203" t="s">
        <v>206</v>
      </c>
      <c r="G203">
        <v>8</v>
      </c>
      <c r="H203">
        <v>2</v>
      </c>
      <c r="I203" t="s">
        <v>546</v>
      </c>
      <c r="J203">
        <v>69.55</v>
      </c>
      <c r="K203" t="s">
        <v>22</v>
      </c>
      <c r="L203" t="s">
        <v>208</v>
      </c>
    </row>
    <row r="204" spans="1:12" x14ac:dyDescent="0.3">
      <c r="A204">
        <v>203</v>
      </c>
      <c r="B204">
        <v>0</v>
      </c>
      <c r="C204">
        <v>3</v>
      </c>
      <c r="D204" t="s">
        <v>629</v>
      </c>
      <c r="E204" t="s">
        <v>206</v>
      </c>
      <c r="F204">
        <v>34</v>
      </c>
      <c r="G204">
        <v>0</v>
      </c>
      <c r="H204">
        <v>0</v>
      </c>
      <c r="I204" t="s">
        <v>630</v>
      </c>
      <c r="J204">
        <v>6.4958</v>
      </c>
      <c r="K204" t="s">
        <v>22</v>
      </c>
      <c r="L204" t="s">
        <v>208</v>
      </c>
    </row>
    <row r="205" spans="1:12" x14ac:dyDescent="0.3">
      <c r="A205">
        <v>204</v>
      </c>
      <c r="B205">
        <v>0</v>
      </c>
      <c r="C205">
        <v>3</v>
      </c>
      <c r="D205" t="s">
        <v>631</v>
      </c>
      <c r="E205" t="s">
        <v>206</v>
      </c>
      <c r="F205">
        <v>45.5</v>
      </c>
      <c r="G205">
        <v>0</v>
      </c>
      <c r="H205">
        <v>0</v>
      </c>
      <c r="I205" t="s">
        <v>632</v>
      </c>
      <c r="J205">
        <v>7.2249999999999996</v>
      </c>
      <c r="K205" t="s">
        <v>22</v>
      </c>
      <c r="L205" t="s">
        <v>213</v>
      </c>
    </row>
    <row r="206" spans="1:12" x14ac:dyDescent="0.3">
      <c r="A206">
        <v>205</v>
      </c>
      <c r="B206">
        <v>1</v>
      </c>
      <c r="C206">
        <v>3</v>
      </c>
      <c r="D206" t="s">
        <v>633</v>
      </c>
      <c r="E206" t="s">
        <v>206</v>
      </c>
      <c r="F206">
        <v>18</v>
      </c>
      <c r="G206">
        <v>0</v>
      </c>
      <c r="H206">
        <v>0</v>
      </c>
      <c r="I206" t="s">
        <v>634</v>
      </c>
      <c r="J206">
        <v>8.0500000000000007</v>
      </c>
      <c r="K206" t="s">
        <v>22</v>
      </c>
      <c r="L206" t="s">
        <v>208</v>
      </c>
    </row>
    <row r="207" spans="1:12" x14ac:dyDescent="0.3">
      <c r="A207">
        <v>206</v>
      </c>
      <c r="B207">
        <v>0</v>
      </c>
      <c r="C207">
        <v>3</v>
      </c>
      <c r="D207" t="s">
        <v>635</v>
      </c>
      <c r="E207" t="s">
        <v>210</v>
      </c>
      <c r="F207">
        <v>2</v>
      </c>
      <c r="G207">
        <v>0</v>
      </c>
      <c r="H207">
        <v>1</v>
      </c>
      <c r="I207" t="s">
        <v>636</v>
      </c>
      <c r="J207">
        <v>10.4625</v>
      </c>
      <c r="K207" t="s">
        <v>235</v>
      </c>
      <c r="L207" t="s">
        <v>208</v>
      </c>
    </row>
    <row r="208" spans="1:12" x14ac:dyDescent="0.3">
      <c r="A208">
        <v>207</v>
      </c>
      <c r="B208">
        <v>0</v>
      </c>
      <c r="C208">
        <v>3</v>
      </c>
      <c r="D208" t="s">
        <v>637</v>
      </c>
      <c r="E208" t="s">
        <v>206</v>
      </c>
      <c r="F208">
        <v>32</v>
      </c>
      <c r="G208">
        <v>1</v>
      </c>
      <c r="H208">
        <v>0</v>
      </c>
      <c r="I208" t="s">
        <v>395</v>
      </c>
      <c r="J208">
        <v>15.85</v>
      </c>
      <c r="K208" t="s">
        <v>22</v>
      </c>
      <c r="L208" t="s">
        <v>208</v>
      </c>
    </row>
    <row r="209" spans="1:12" x14ac:dyDescent="0.3">
      <c r="A209">
        <v>208</v>
      </c>
      <c r="B209">
        <v>1</v>
      </c>
      <c r="C209">
        <v>3</v>
      </c>
      <c r="D209" t="s">
        <v>638</v>
      </c>
      <c r="E209" t="s">
        <v>206</v>
      </c>
      <c r="F209">
        <v>26</v>
      </c>
      <c r="G209">
        <v>0</v>
      </c>
      <c r="H209">
        <v>0</v>
      </c>
      <c r="I209" t="s">
        <v>639</v>
      </c>
      <c r="J209">
        <v>18.787500000000001</v>
      </c>
      <c r="K209" t="s">
        <v>22</v>
      </c>
      <c r="L209" t="s">
        <v>213</v>
      </c>
    </row>
    <row r="210" spans="1:12" x14ac:dyDescent="0.3">
      <c r="A210">
        <v>209</v>
      </c>
      <c r="B210">
        <v>1</v>
      </c>
      <c r="C210">
        <v>3</v>
      </c>
      <c r="D210" t="s">
        <v>640</v>
      </c>
      <c r="E210" t="s">
        <v>210</v>
      </c>
      <c r="F210">
        <v>16</v>
      </c>
      <c r="G210">
        <v>0</v>
      </c>
      <c r="H210">
        <v>0</v>
      </c>
      <c r="I210" t="s">
        <v>641</v>
      </c>
      <c r="J210">
        <v>7.75</v>
      </c>
      <c r="K210" t="s">
        <v>22</v>
      </c>
      <c r="L210" t="s">
        <v>223</v>
      </c>
    </row>
    <row r="211" spans="1:12" x14ac:dyDescent="0.3">
      <c r="A211">
        <v>210</v>
      </c>
      <c r="B211">
        <v>1</v>
      </c>
      <c r="C211">
        <v>1</v>
      </c>
      <c r="D211" t="s">
        <v>642</v>
      </c>
      <c r="E211" t="s">
        <v>206</v>
      </c>
      <c r="F211">
        <v>40</v>
      </c>
      <c r="G211">
        <v>0</v>
      </c>
      <c r="H211">
        <v>0</v>
      </c>
      <c r="I211" t="s">
        <v>643</v>
      </c>
      <c r="J211">
        <v>31</v>
      </c>
      <c r="K211" t="s">
        <v>644</v>
      </c>
      <c r="L211" t="s">
        <v>213</v>
      </c>
    </row>
    <row r="212" spans="1:12" x14ac:dyDescent="0.3">
      <c r="A212">
        <v>211</v>
      </c>
      <c r="B212">
        <v>0</v>
      </c>
      <c r="C212">
        <v>3</v>
      </c>
      <c r="D212" t="s">
        <v>645</v>
      </c>
      <c r="E212" t="s">
        <v>206</v>
      </c>
      <c r="F212">
        <v>24</v>
      </c>
      <c r="G212">
        <v>0</v>
      </c>
      <c r="H212">
        <v>0</v>
      </c>
      <c r="I212" t="s">
        <v>646</v>
      </c>
      <c r="J212">
        <v>7.05</v>
      </c>
      <c r="K212" t="s">
        <v>22</v>
      </c>
      <c r="L212" t="s">
        <v>208</v>
      </c>
    </row>
    <row r="213" spans="1:12" x14ac:dyDescent="0.3">
      <c r="A213">
        <v>212</v>
      </c>
      <c r="B213">
        <v>1</v>
      </c>
      <c r="C213">
        <v>2</v>
      </c>
      <c r="D213" t="s">
        <v>647</v>
      </c>
      <c r="E213" t="s">
        <v>210</v>
      </c>
      <c r="F213">
        <v>35</v>
      </c>
      <c r="G213">
        <v>0</v>
      </c>
      <c r="H213">
        <v>0</v>
      </c>
      <c r="I213" t="s">
        <v>648</v>
      </c>
      <c r="J213">
        <v>21</v>
      </c>
      <c r="K213" t="s">
        <v>22</v>
      </c>
      <c r="L213" t="s">
        <v>208</v>
      </c>
    </row>
    <row r="214" spans="1:12" x14ac:dyDescent="0.3">
      <c r="A214">
        <v>213</v>
      </c>
      <c r="B214">
        <v>0</v>
      </c>
      <c r="C214">
        <v>3</v>
      </c>
      <c r="D214" t="s">
        <v>649</v>
      </c>
      <c r="E214" t="s">
        <v>206</v>
      </c>
      <c r="F214">
        <v>22</v>
      </c>
      <c r="G214">
        <v>0</v>
      </c>
      <c r="H214">
        <v>0</v>
      </c>
      <c r="I214" t="s">
        <v>650</v>
      </c>
      <c r="J214">
        <v>7.25</v>
      </c>
      <c r="K214" t="s">
        <v>22</v>
      </c>
      <c r="L214" t="s">
        <v>208</v>
      </c>
    </row>
    <row r="215" spans="1:12" x14ac:dyDescent="0.3">
      <c r="A215">
        <v>214</v>
      </c>
      <c r="B215">
        <v>0</v>
      </c>
      <c r="C215">
        <v>2</v>
      </c>
      <c r="D215" t="s">
        <v>651</v>
      </c>
      <c r="E215" t="s">
        <v>206</v>
      </c>
      <c r="F215">
        <v>30</v>
      </c>
      <c r="G215">
        <v>0</v>
      </c>
      <c r="H215">
        <v>0</v>
      </c>
      <c r="I215" t="s">
        <v>652</v>
      </c>
      <c r="J215">
        <v>13</v>
      </c>
      <c r="K215" t="s">
        <v>22</v>
      </c>
      <c r="L215" t="s">
        <v>208</v>
      </c>
    </row>
    <row r="216" spans="1:12" x14ac:dyDescent="0.3">
      <c r="A216">
        <v>215</v>
      </c>
      <c r="B216">
        <v>0</v>
      </c>
      <c r="C216">
        <v>3</v>
      </c>
      <c r="D216" t="s">
        <v>653</v>
      </c>
      <c r="E216" t="s">
        <v>206</v>
      </c>
      <c r="G216">
        <v>1</v>
      </c>
      <c r="H216">
        <v>0</v>
      </c>
      <c r="I216" t="s">
        <v>654</v>
      </c>
      <c r="J216">
        <v>7.75</v>
      </c>
      <c r="K216" t="s">
        <v>22</v>
      </c>
      <c r="L216" t="s">
        <v>223</v>
      </c>
    </row>
    <row r="217" spans="1:12" x14ac:dyDescent="0.3">
      <c r="A217">
        <v>216</v>
      </c>
      <c r="B217">
        <v>1</v>
      </c>
      <c r="C217">
        <v>1</v>
      </c>
      <c r="D217" t="s">
        <v>655</v>
      </c>
      <c r="E217" t="s">
        <v>210</v>
      </c>
      <c r="F217">
        <v>31</v>
      </c>
      <c r="G217">
        <v>1</v>
      </c>
      <c r="H217">
        <v>0</v>
      </c>
      <c r="I217" t="s">
        <v>656</v>
      </c>
      <c r="J217">
        <v>113.27500000000001</v>
      </c>
      <c r="K217" t="s">
        <v>657</v>
      </c>
      <c r="L217" t="s">
        <v>213</v>
      </c>
    </row>
    <row r="218" spans="1:12" x14ac:dyDescent="0.3">
      <c r="A218">
        <v>217</v>
      </c>
      <c r="B218">
        <v>1</v>
      </c>
      <c r="C218">
        <v>3</v>
      </c>
      <c r="D218" t="s">
        <v>658</v>
      </c>
      <c r="E218" t="s">
        <v>210</v>
      </c>
      <c r="F218">
        <v>27</v>
      </c>
      <c r="G218">
        <v>0</v>
      </c>
      <c r="H218">
        <v>0</v>
      </c>
      <c r="I218" t="s">
        <v>659</v>
      </c>
      <c r="J218">
        <v>7.9249999999999998</v>
      </c>
      <c r="K218" t="s">
        <v>22</v>
      </c>
      <c r="L218" t="s">
        <v>208</v>
      </c>
    </row>
    <row r="219" spans="1:12" x14ac:dyDescent="0.3">
      <c r="A219">
        <v>218</v>
      </c>
      <c r="B219">
        <v>0</v>
      </c>
      <c r="C219">
        <v>2</v>
      </c>
      <c r="D219" t="s">
        <v>660</v>
      </c>
      <c r="E219" t="s">
        <v>206</v>
      </c>
      <c r="F219">
        <v>42</v>
      </c>
      <c r="G219">
        <v>1</v>
      </c>
      <c r="H219">
        <v>0</v>
      </c>
      <c r="I219" t="s">
        <v>661</v>
      </c>
      <c r="J219">
        <v>27</v>
      </c>
      <c r="K219" t="s">
        <v>22</v>
      </c>
      <c r="L219" t="s">
        <v>208</v>
      </c>
    </row>
    <row r="220" spans="1:12" x14ac:dyDescent="0.3">
      <c r="A220">
        <v>219</v>
      </c>
      <c r="B220">
        <v>1</v>
      </c>
      <c r="C220">
        <v>1</v>
      </c>
      <c r="D220" t="s">
        <v>662</v>
      </c>
      <c r="E220" t="s">
        <v>210</v>
      </c>
      <c r="F220">
        <v>32</v>
      </c>
      <c r="G220">
        <v>0</v>
      </c>
      <c r="H220">
        <v>0</v>
      </c>
      <c r="I220" t="s">
        <v>663</v>
      </c>
      <c r="J220">
        <v>76.291700000000006</v>
      </c>
      <c r="K220" t="s">
        <v>664</v>
      </c>
      <c r="L220" t="s">
        <v>213</v>
      </c>
    </row>
    <row r="221" spans="1:12" x14ac:dyDescent="0.3">
      <c r="A221">
        <v>220</v>
      </c>
      <c r="B221">
        <v>0</v>
      </c>
      <c r="C221">
        <v>2</v>
      </c>
      <c r="D221" t="s">
        <v>665</v>
      </c>
      <c r="E221" t="s">
        <v>206</v>
      </c>
      <c r="F221">
        <v>30</v>
      </c>
      <c r="G221">
        <v>0</v>
      </c>
      <c r="H221">
        <v>0</v>
      </c>
      <c r="I221" t="s">
        <v>666</v>
      </c>
      <c r="J221">
        <v>10.5</v>
      </c>
      <c r="K221" t="s">
        <v>22</v>
      </c>
      <c r="L221" t="s">
        <v>208</v>
      </c>
    </row>
    <row r="222" spans="1:12" x14ac:dyDescent="0.3">
      <c r="A222">
        <v>221</v>
      </c>
      <c r="B222">
        <v>1</v>
      </c>
      <c r="C222">
        <v>3</v>
      </c>
      <c r="D222" t="s">
        <v>667</v>
      </c>
      <c r="E222" t="s">
        <v>206</v>
      </c>
      <c r="F222">
        <v>16</v>
      </c>
      <c r="G222">
        <v>0</v>
      </c>
      <c r="H222">
        <v>0</v>
      </c>
      <c r="I222" t="s">
        <v>668</v>
      </c>
      <c r="J222">
        <v>8.0500000000000007</v>
      </c>
      <c r="K222" t="s">
        <v>22</v>
      </c>
      <c r="L222" t="s">
        <v>208</v>
      </c>
    </row>
    <row r="223" spans="1:12" x14ac:dyDescent="0.3">
      <c r="A223">
        <v>222</v>
      </c>
      <c r="B223">
        <v>0</v>
      </c>
      <c r="C223">
        <v>2</v>
      </c>
      <c r="D223" t="s">
        <v>669</v>
      </c>
      <c r="E223" t="s">
        <v>206</v>
      </c>
      <c r="F223">
        <v>27</v>
      </c>
      <c r="G223">
        <v>0</v>
      </c>
      <c r="H223">
        <v>0</v>
      </c>
      <c r="I223" t="s">
        <v>670</v>
      </c>
      <c r="J223">
        <v>13</v>
      </c>
      <c r="K223" t="s">
        <v>22</v>
      </c>
      <c r="L223" t="s">
        <v>208</v>
      </c>
    </row>
    <row r="224" spans="1:12" x14ac:dyDescent="0.3">
      <c r="A224">
        <v>223</v>
      </c>
      <c r="B224">
        <v>0</v>
      </c>
      <c r="C224">
        <v>3</v>
      </c>
      <c r="D224" t="s">
        <v>671</v>
      </c>
      <c r="E224" t="s">
        <v>206</v>
      </c>
      <c r="F224">
        <v>51</v>
      </c>
      <c r="G224">
        <v>0</v>
      </c>
      <c r="H224">
        <v>0</v>
      </c>
      <c r="I224" t="s">
        <v>672</v>
      </c>
      <c r="J224">
        <v>8.0500000000000007</v>
      </c>
      <c r="K224" t="s">
        <v>22</v>
      </c>
      <c r="L224" t="s">
        <v>208</v>
      </c>
    </row>
    <row r="225" spans="1:12" x14ac:dyDescent="0.3">
      <c r="A225">
        <v>224</v>
      </c>
      <c r="B225">
        <v>0</v>
      </c>
      <c r="C225">
        <v>3</v>
      </c>
      <c r="D225" t="s">
        <v>673</v>
      </c>
      <c r="E225" t="s">
        <v>206</v>
      </c>
      <c r="G225">
        <v>0</v>
      </c>
      <c r="H225">
        <v>0</v>
      </c>
      <c r="I225" t="s">
        <v>674</v>
      </c>
      <c r="J225">
        <v>7.8958000000000004</v>
      </c>
      <c r="K225" t="s">
        <v>22</v>
      </c>
      <c r="L225" t="s">
        <v>208</v>
      </c>
    </row>
    <row r="226" spans="1:12" x14ac:dyDescent="0.3">
      <c r="A226">
        <v>225</v>
      </c>
      <c r="B226">
        <v>1</v>
      </c>
      <c r="C226">
        <v>1</v>
      </c>
      <c r="D226" t="s">
        <v>675</v>
      </c>
      <c r="E226" t="s">
        <v>206</v>
      </c>
      <c r="F226">
        <v>38</v>
      </c>
      <c r="G226">
        <v>1</v>
      </c>
      <c r="H226">
        <v>0</v>
      </c>
      <c r="I226" t="s">
        <v>676</v>
      </c>
      <c r="J226">
        <v>90</v>
      </c>
      <c r="K226" t="s">
        <v>677</v>
      </c>
      <c r="L226" t="s">
        <v>208</v>
      </c>
    </row>
    <row r="227" spans="1:12" x14ac:dyDescent="0.3">
      <c r="A227">
        <v>226</v>
      </c>
      <c r="B227">
        <v>0</v>
      </c>
      <c r="C227">
        <v>3</v>
      </c>
      <c r="D227" t="s">
        <v>678</v>
      </c>
      <c r="E227" t="s">
        <v>206</v>
      </c>
      <c r="F227">
        <v>22</v>
      </c>
      <c r="G227">
        <v>0</v>
      </c>
      <c r="H227">
        <v>0</v>
      </c>
      <c r="I227" t="s">
        <v>679</v>
      </c>
      <c r="J227">
        <v>9.35</v>
      </c>
      <c r="K227" t="s">
        <v>22</v>
      </c>
      <c r="L227" t="s">
        <v>208</v>
      </c>
    </row>
    <row r="228" spans="1:12" x14ac:dyDescent="0.3">
      <c r="A228">
        <v>227</v>
      </c>
      <c r="B228">
        <v>1</v>
      </c>
      <c r="C228">
        <v>2</v>
      </c>
      <c r="D228" t="s">
        <v>680</v>
      </c>
      <c r="E228" t="s">
        <v>206</v>
      </c>
      <c r="F228">
        <v>19</v>
      </c>
      <c r="G228">
        <v>0</v>
      </c>
      <c r="H228">
        <v>0</v>
      </c>
      <c r="I228" t="s">
        <v>681</v>
      </c>
      <c r="J228">
        <v>10.5</v>
      </c>
      <c r="K228" t="s">
        <v>22</v>
      </c>
      <c r="L228" t="s">
        <v>208</v>
      </c>
    </row>
    <row r="229" spans="1:12" x14ac:dyDescent="0.3">
      <c r="A229">
        <v>228</v>
      </c>
      <c r="B229">
        <v>0</v>
      </c>
      <c r="C229">
        <v>3</v>
      </c>
      <c r="D229" t="s">
        <v>682</v>
      </c>
      <c r="E229" t="s">
        <v>206</v>
      </c>
      <c r="F229">
        <v>20.5</v>
      </c>
      <c r="G229">
        <v>0</v>
      </c>
      <c r="H229">
        <v>0</v>
      </c>
      <c r="I229" t="s">
        <v>683</v>
      </c>
      <c r="J229">
        <v>7.25</v>
      </c>
      <c r="K229" t="s">
        <v>22</v>
      </c>
      <c r="L229" t="s">
        <v>208</v>
      </c>
    </row>
    <row r="230" spans="1:12" x14ac:dyDescent="0.3">
      <c r="A230">
        <v>229</v>
      </c>
      <c r="B230">
        <v>0</v>
      </c>
      <c r="C230">
        <v>2</v>
      </c>
      <c r="D230" t="s">
        <v>684</v>
      </c>
      <c r="E230" t="s">
        <v>206</v>
      </c>
      <c r="F230">
        <v>18</v>
      </c>
      <c r="G230">
        <v>0</v>
      </c>
      <c r="H230">
        <v>0</v>
      </c>
      <c r="I230" t="s">
        <v>685</v>
      </c>
      <c r="J230">
        <v>13</v>
      </c>
      <c r="K230" t="s">
        <v>22</v>
      </c>
      <c r="L230" t="s">
        <v>208</v>
      </c>
    </row>
    <row r="231" spans="1:12" x14ac:dyDescent="0.3">
      <c r="A231">
        <v>230</v>
      </c>
      <c r="B231">
        <v>0</v>
      </c>
      <c r="C231">
        <v>3</v>
      </c>
      <c r="D231" t="s">
        <v>686</v>
      </c>
      <c r="E231" t="s">
        <v>210</v>
      </c>
      <c r="G231">
        <v>3</v>
      </c>
      <c r="H231">
        <v>1</v>
      </c>
      <c r="I231" t="s">
        <v>578</v>
      </c>
      <c r="J231">
        <v>25.466699999999999</v>
      </c>
      <c r="K231" t="s">
        <v>22</v>
      </c>
      <c r="L231" t="s">
        <v>208</v>
      </c>
    </row>
    <row r="232" spans="1:12" x14ac:dyDescent="0.3">
      <c r="A232">
        <v>231</v>
      </c>
      <c r="B232">
        <v>1</v>
      </c>
      <c r="C232">
        <v>1</v>
      </c>
      <c r="D232" t="s">
        <v>687</v>
      </c>
      <c r="E232" t="s">
        <v>210</v>
      </c>
      <c r="F232">
        <v>35</v>
      </c>
      <c r="G232">
        <v>1</v>
      </c>
      <c r="H232">
        <v>0</v>
      </c>
      <c r="I232" t="s">
        <v>347</v>
      </c>
      <c r="J232">
        <v>83.474999999999994</v>
      </c>
      <c r="K232" t="s">
        <v>348</v>
      </c>
      <c r="L232" t="s">
        <v>208</v>
      </c>
    </row>
    <row r="233" spans="1:12" x14ac:dyDescent="0.3">
      <c r="A233">
        <v>232</v>
      </c>
      <c r="B233">
        <v>0</v>
      </c>
      <c r="C233">
        <v>3</v>
      </c>
      <c r="D233" t="s">
        <v>688</v>
      </c>
      <c r="E233" t="s">
        <v>206</v>
      </c>
      <c r="F233">
        <v>29</v>
      </c>
      <c r="G233">
        <v>0</v>
      </c>
      <c r="H233">
        <v>0</v>
      </c>
      <c r="I233" t="s">
        <v>689</v>
      </c>
      <c r="J233">
        <v>7.7750000000000004</v>
      </c>
      <c r="K233" t="s">
        <v>22</v>
      </c>
      <c r="L233" t="s">
        <v>208</v>
      </c>
    </row>
    <row r="234" spans="1:12" x14ac:dyDescent="0.3">
      <c r="A234">
        <v>233</v>
      </c>
      <c r="B234">
        <v>0</v>
      </c>
      <c r="C234">
        <v>2</v>
      </c>
      <c r="D234" t="s">
        <v>690</v>
      </c>
      <c r="E234" t="s">
        <v>206</v>
      </c>
      <c r="F234">
        <v>59</v>
      </c>
      <c r="G234">
        <v>0</v>
      </c>
      <c r="H234">
        <v>0</v>
      </c>
      <c r="I234" t="s">
        <v>691</v>
      </c>
      <c r="J234">
        <v>13.5</v>
      </c>
      <c r="K234" t="s">
        <v>22</v>
      </c>
      <c r="L234" t="s">
        <v>208</v>
      </c>
    </row>
    <row r="235" spans="1:12" x14ac:dyDescent="0.3">
      <c r="A235">
        <v>234</v>
      </c>
      <c r="B235">
        <v>1</v>
      </c>
      <c r="C235">
        <v>3</v>
      </c>
      <c r="D235" t="s">
        <v>692</v>
      </c>
      <c r="E235" t="s">
        <v>210</v>
      </c>
      <c r="F235">
        <v>5</v>
      </c>
      <c r="G235">
        <v>4</v>
      </c>
      <c r="H235">
        <v>2</v>
      </c>
      <c r="I235" t="s">
        <v>267</v>
      </c>
      <c r="J235">
        <v>31.387499999999999</v>
      </c>
      <c r="K235" t="s">
        <v>22</v>
      </c>
      <c r="L235" t="s">
        <v>208</v>
      </c>
    </row>
    <row r="236" spans="1:12" x14ac:dyDescent="0.3">
      <c r="A236">
        <v>235</v>
      </c>
      <c r="B236">
        <v>0</v>
      </c>
      <c r="C236">
        <v>2</v>
      </c>
      <c r="D236" t="s">
        <v>693</v>
      </c>
      <c r="E236" t="s">
        <v>206</v>
      </c>
      <c r="F236">
        <v>24</v>
      </c>
      <c r="G236">
        <v>0</v>
      </c>
      <c r="H236">
        <v>0</v>
      </c>
      <c r="I236" t="s">
        <v>694</v>
      </c>
      <c r="J236">
        <v>10.5</v>
      </c>
      <c r="K236" t="s">
        <v>22</v>
      </c>
      <c r="L236" t="s">
        <v>208</v>
      </c>
    </row>
    <row r="237" spans="1:12" x14ac:dyDescent="0.3">
      <c r="A237">
        <v>236</v>
      </c>
      <c r="B237">
        <v>0</v>
      </c>
      <c r="C237">
        <v>3</v>
      </c>
      <c r="D237" t="s">
        <v>695</v>
      </c>
      <c r="E237" t="s">
        <v>210</v>
      </c>
      <c r="G237">
        <v>0</v>
      </c>
      <c r="H237">
        <v>0</v>
      </c>
      <c r="I237" t="s">
        <v>696</v>
      </c>
      <c r="J237">
        <v>7.55</v>
      </c>
      <c r="K237" t="s">
        <v>22</v>
      </c>
      <c r="L237" t="s">
        <v>208</v>
      </c>
    </row>
    <row r="238" spans="1:12" x14ac:dyDescent="0.3">
      <c r="A238">
        <v>237</v>
      </c>
      <c r="B238">
        <v>0</v>
      </c>
      <c r="C238">
        <v>2</v>
      </c>
      <c r="D238" t="s">
        <v>697</v>
      </c>
      <c r="E238" t="s">
        <v>206</v>
      </c>
      <c r="F238">
        <v>44</v>
      </c>
      <c r="G238">
        <v>1</v>
      </c>
      <c r="H238">
        <v>0</v>
      </c>
      <c r="I238" t="s">
        <v>698</v>
      </c>
      <c r="J238">
        <v>26</v>
      </c>
      <c r="K238" t="s">
        <v>22</v>
      </c>
      <c r="L238" t="s">
        <v>208</v>
      </c>
    </row>
    <row r="239" spans="1:12" x14ac:dyDescent="0.3">
      <c r="A239">
        <v>238</v>
      </c>
      <c r="B239">
        <v>1</v>
      </c>
      <c r="C239">
        <v>2</v>
      </c>
      <c r="D239" t="s">
        <v>699</v>
      </c>
      <c r="E239" t="s">
        <v>210</v>
      </c>
      <c r="F239">
        <v>8</v>
      </c>
      <c r="G239">
        <v>0</v>
      </c>
      <c r="H239">
        <v>2</v>
      </c>
      <c r="I239" t="s">
        <v>700</v>
      </c>
      <c r="J239">
        <v>26.25</v>
      </c>
      <c r="K239" t="s">
        <v>22</v>
      </c>
      <c r="L239" t="s">
        <v>208</v>
      </c>
    </row>
    <row r="240" spans="1:12" x14ac:dyDescent="0.3">
      <c r="A240">
        <v>239</v>
      </c>
      <c r="B240">
        <v>0</v>
      </c>
      <c r="C240">
        <v>2</v>
      </c>
      <c r="D240" t="s">
        <v>701</v>
      </c>
      <c r="E240" t="s">
        <v>206</v>
      </c>
      <c r="F240">
        <v>19</v>
      </c>
      <c r="G240">
        <v>0</v>
      </c>
      <c r="H240">
        <v>0</v>
      </c>
      <c r="I240" t="s">
        <v>702</v>
      </c>
      <c r="J240">
        <v>10.5</v>
      </c>
      <c r="K240" t="s">
        <v>22</v>
      </c>
      <c r="L240" t="s">
        <v>208</v>
      </c>
    </row>
    <row r="241" spans="1:12" x14ac:dyDescent="0.3">
      <c r="A241">
        <v>240</v>
      </c>
      <c r="B241">
        <v>0</v>
      </c>
      <c r="C241">
        <v>2</v>
      </c>
      <c r="D241" t="s">
        <v>703</v>
      </c>
      <c r="E241" t="s">
        <v>206</v>
      </c>
      <c r="F241">
        <v>33</v>
      </c>
      <c r="G241">
        <v>0</v>
      </c>
      <c r="H241">
        <v>0</v>
      </c>
      <c r="I241" t="s">
        <v>704</v>
      </c>
      <c r="J241">
        <v>12.275</v>
      </c>
      <c r="K241" t="s">
        <v>22</v>
      </c>
      <c r="L241" t="s">
        <v>208</v>
      </c>
    </row>
    <row r="242" spans="1:12" x14ac:dyDescent="0.3">
      <c r="A242">
        <v>241</v>
      </c>
      <c r="B242">
        <v>0</v>
      </c>
      <c r="C242">
        <v>3</v>
      </c>
      <c r="D242" t="s">
        <v>705</v>
      </c>
      <c r="E242" t="s">
        <v>210</v>
      </c>
      <c r="G242">
        <v>1</v>
      </c>
      <c r="H242">
        <v>0</v>
      </c>
      <c r="I242" t="s">
        <v>451</v>
      </c>
      <c r="J242">
        <v>14.4542</v>
      </c>
      <c r="K242" t="s">
        <v>22</v>
      </c>
      <c r="L242" t="s">
        <v>213</v>
      </c>
    </row>
    <row r="243" spans="1:12" x14ac:dyDescent="0.3">
      <c r="A243">
        <v>242</v>
      </c>
      <c r="B243">
        <v>1</v>
      </c>
      <c r="C243">
        <v>3</v>
      </c>
      <c r="D243" t="s">
        <v>706</v>
      </c>
      <c r="E243" t="s">
        <v>210</v>
      </c>
      <c r="G243">
        <v>1</v>
      </c>
      <c r="H243">
        <v>0</v>
      </c>
      <c r="I243" t="s">
        <v>707</v>
      </c>
      <c r="J243">
        <v>15.5</v>
      </c>
      <c r="K243" t="s">
        <v>22</v>
      </c>
      <c r="L243" t="s">
        <v>223</v>
      </c>
    </row>
    <row r="244" spans="1:12" x14ac:dyDescent="0.3">
      <c r="A244">
        <v>243</v>
      </c>
      <c r="B244">
        <v>0</v>
      </c>
      <c r="C244">
        <v>2</v>
      </c>
      <c r="D244" t="s">
        <v>708</v>
      </c>
      <c r="E244" t="s">
        <v>206</v>
      </c>
      <c r="F244">
        <v>29</v>
      </c>
      <c r="G244">
        <v>0</v>
      </c>
      <c r="H244">
        <v>0</v>
      </c>
      <c r="I244" t="s">
        <v>709</v>
      </c>
      <c r="J244">
        <v>10.5</v>
      </c>
      <c r="K244" t="s">
        <v>22</v>
      </c>
      <c r="L244" t="s">
        <v>208</v>
      </c>
    </row>
    <row r="245" spans="1:12" x14ac:dyDescent="0.3">
      <c r="A245">
        <v>244</v>
      </c>
      <c r="B245">
        <v>0</v>
      </c>
      <c r="C245">
        <v>3</v>
      </c>
      <c r="D245" t="s">
        <v>710</v>
      </c>
      <c r="E245" t="s">
        <v>206</v>
      </c>
      <c r="F245">
        <v>22</v>
      </c>
      <c r="G245">
        <v>0</v>
      </c>
      <c r="H245">
        <v>0</v>
      </c>
      <c r="I245" t="s">
        <v>711</v>
      </c>
      <c r="J245">
        <v>7.125</v>
      </c>
      <c r="K245" t="s">
        <v>22</v>
      </c>
      <c r="L245" t="s">
        <v>208</v>
      </c>
    </row>
    <row r="246" spans="1:12" x14ac:dyDescent="0.3">
      <c r="A246">
        <v>245</v>
      </c>
      <c r="B246">
        <v>0</v>
      </c>
      <c r="C246">
        <v>3</v>
      </c>
      <c r="D246" t="s">
        <v>712</v>
      </c>
      <c r="E246" t="s">
        <v>206</v>
      </c>
      <c r="F246">
        <v>30</v>
      </c>
      <c r="G246">
        <v>0</v>
      </c>
      <c r="H246">
        <v>0</v>
      </c>
      <c r="I246" t="s">
        <v>713</v>
      </c>
      <c r="J246">
        <v>7.2249999999999996</v>
      </c>
      <c r="K246" t="s">
        <v>22</v>
      </c>
      <c r="L246" t="s">
        <v>213</v>
      </c>
    </row>
    <row r="247" spans="1:12" x14ac:dyDescent="0.3">
      <c r="A247">
        <v>246</v>
      </c>
      <c r="B247">
        <v>0</v>
      </c>
      <c r="C247">
        <v>1</v>
      </c>
      <c r="D247" t="s">
        <v>714</v>
      </c>
      <c r="E247" t="s">
        <v>206</v>
      </c>
      <c r="F247">
        <v>44</v>
      </c>
      <c r="G247">
        <v>2</v>
      </c>
      <c r="H247">
        <v>0</v>
      </c>
      <c r="I247" t="s">
        <v>715</v>
      </c>
      <c r="J247">
        <v>90</v>
      </c>
      <c r="K247" t="s">
        <v>716</v>
      </c>
      <c r="L247" t="s">
        <v>223</v>
      </c>
    </row>
    <row r="248" spans="1:12" x14ac:dyDescent="0.3">
      <c r="A248">
        <v>247</v>
      </c>
      <c r="B248">
        <v>0</v>
      </c>
      <c r="C248">
        <v>3</v>
      </c>
      <c r="D248" t="s">
        <v>717</v>
      </c>
      <c r="E248" t="s">
        <v>210</v>
      </c>
      <c r="F248">
        <v>25</v>
      </c>
      <c r="G248">
        <v>0</v>
      </c>
      <c r="H248">
        <v>0</v>
      </c>
      <c r="I248" t="s">
        <v>718</v>
      </c>
      <c r="J248">
        <v>7.7750000000000004</v>
      </c>
      <c r="K248" t="s">
        <v>22</v>
      </c>
      <c r="L248" t="s">
        <v>208</v>
      </c>
    </row>
    <row r="249" spans="1:12" x14ac:dyDescent="0.3">
      <c r="A249">
        <v>248</v>
      </c>
      <c r="B249">
        <v>1</v>
      </c>
      <c r="C249">
        <v>2</v>
      </c>
      <c r="D249" t="s">
        <v>719</v>
      </c>
      <c r="E249" t="s">
        <v>210</v>
      </c>
      <c r="F249">
        <v>24</v>
      </c>
      <c r="G249">
        <v>0</v>
      </c>
      <c r="H249">
        <v>2</v>
      </c>
      <c r="I249" t="s">
        <v>720</v>
      </c>
      <c r="J249">
        <v>14.5</v>
      </c>
      <c r="K249" t="s">
        <v>22</v>
      </c>
      <c r="L249" t="s">
        <v>208</v>
      </c>
    </row>
    <row r="250" spans="1:12" x14ac:dyDescent="0.3">
      <c r="A250">
        <v>249</v>
      </c>
      <c r="B250">
        <v>1</v>
      </c>
      <c r="C250">
        <v>1</v>
      </c>
      <c r="D250" t="s">
        <v>721</v>
      </c>
      <c r="E250" t="s">
        <v>206</v>
      </c>
      <c r="F250">
        <v>37</v>
      </c>
      <c r="G250">
        <v>1</v>
      </c>
      <c r="H250">
        <v>1</v>
      </c>
      <c r="I250" t="s">
        <v>722</v>
      </c>
      <c r="J250">
        <v>52.554200000000002</v>
      </c>
      <c r="K250" t="s">
        <v>723</v>
      </c>
      <c r="L250" t="s">
        <v>208</v>
      </c>
    </row>
    <row r="251" spans="1:12" x14ac:dyDescent="0.3">
      <c r="A251">
        <v>250</v>
      </c>
      <c r="B251">
        <v>0</v>
      </c>
      <c r="C251">
        <v>2</v>
      </c>
      <c r="D251" t="s">
        <v>724</v>
      </c>
      <c r="E251" t="s">
        <v>206</v>
      </c>
      <c r="F251">
        <v>54</v>
      </c>
      <c r="G251">
        <v>1</v>
      </c>
      <c r="H251">
        <v>0</v>
      </c>
      <c r="I251" t="s">
        <v>725</v>
      </c>
      <c r="J251">
        <v>26</v>
      </c>
      <c r="K251" t="s">
        <v>22</v>
      </c>
      <c r="L251" t="s">
        <v>208</v>
      </c>
    </row>
    <row r="252" spans="1:12" x14ac:dyDescent="0.3">
      <c r="A252">
        <v>251</v>
      </c>
      <c r="B252">
        <v>0</v>
      </c>
      <c r="C252">
        <v>3</v>
      </c>
      <c r="D252" t="s">
        <v>726</v>
      </c>
      <c r="E252" t="s">
        <v>206</v>
      </c>
      <c r="G252">
        <v>0</v>
      </c>
      <c r="H252">
        <v>0</v>
      </c>
      <c r="I252" t="s">
        <v>727</v>
      </c>
      <c r="J252">
        <v>7.25</v>
      </c>
      <c r="K252" t="s">
        <v>22</v>
      </c>
      <c r="L252" t="s">
        <v>208</v>
      </c>
    </row>
    <row r="253" spans="1:12" x14ac:dyDescent="0.3">
      <c r="A253">
        <v>252</v>
      </c>
      <c r="B253">
        <v>0</v>
      </c>
      <c r="C253">
        <v>3</v>
      </c>
      <c r="D253" t="s">
        <v>728</v>
      </c>
      <c r="E253" t="s">
        <v>210</v>
      </c>
      <c r="F253">
        <v>29</v>
      </c>
      <c r="G253">
        <v>1</v>
      </c>
      <c r="H253">
        <v>1</v>
      </c>
      <c r="I253" t="s">
        <v>636</v>
      </c>
      <c r="J253">
        <v>10.4625</v>
      </c>
      <c r="K253" t="s">
        <v>235</v>
      </c>
      <c r="L253" t="s">
        <v>208</v>
      </c>
    </row>
    <row r="254" spans="1:12" x14ac:dyDescent="0.3">
      <c r="A254">
        <v>253</v>
      </c>
      <c r="B254">
        <v>0</v>
      </c>
      <c r="C254">
        <v>1</v>
      </c>
      <c r="D254" t="s">
        <v>729</v>
      </c>
      <c r="E254" t="s">
        <v>206</v>
      </c>
      <c r="F254">
        <v>62</v>
      </c>
      <c r="G254">
        <v>0</v>
      </c>
      <c r="H254">
        <v>0</v>
      </c>
      <c r="I254" t="s">
        <v>730</v>
      </c>
      <c r="J254">
        <v>26.55</v>
      </c>
      <c r="K254" t="s">
        <v>731</v>
      </c>
      <c r="L254" t="s">
        <v>208</v>
      </c>
    </row>
    <row r="255" spans="1:12" x14ac:dyDescent="0.3">
      <c r="A255">
        <v>254</v>
      </c>
      <c r="B255">
        <v>0</v>
      </c>
      <c r="C255">
        <v>3</v>
      </c>
      <c r="D255" t="s">
        <v>732</v>
      </c>
      <c r="E255" t="s">
        <v>206</v>
      </c>
      <c r="F255">
        <v>30</v>
      </c>
      <c r="G255">
        <v>1</v>
      </c>
      <c r="H255">
        <v>0</v>
      </c>
      <c r="I255" t="s">
        <v>733</v>
      </c>
      <c r="J255">
        <v>16.100000000000001</v>
      </c>
      <c r="K255" t="s">
        <v>22</v>
      </c>
      <c r="L255" t="s">
        <v>208</v>
      </c>
    </row>
    <row r="256" spans="1:12" x14ac:dyDescent="0.3">
      <c r="A256">
        <v>255</v>
      </c>
      <c r="B256">
        <v>0</v>
      </c>
      <c r="C256">
        <v>3</v>
      </c>
      <c r="D256" t="s">
        <v>734</v>
      </c>
      <c r="E256" t="s">
        <v>210</v>
      </c>
      <c r="F256">
        <v>41</v>
      </c>
      <c r="G256">
        <v>0</v>
      </c>
      <c r="H256">
        <v>2</v>
      </c>
      <c r="I256" t="s">
        <v>735</v>
      </c>
      <c r="J256">
        <v>20.212499999999999</v>
      </c>
      <c r="K256" t="s">
        <v>22</v>
      </c>
      <c r="L256" t="s">
        <v>208</v>
      </c>
    </row>
    <row r="257" spans="1:12" x14ac:dyDescent="0.3">
      <c r="A257">
        <v>256</v>
      </c>
      <c r="B257">
        <v>1</v>
      </c>
      <c r="C257">
        <v>3</v>
      </c>
      <c r="D257" t="s">
        <v>736</v>
      </c>
      <c r="E257" t="s">
        <v>210</v>
      </c>
      <c r="F257">
        <v>29</v>
      </c>
      <c r="G257">
        <v>0</v>
      </c>
      <c r="H257">
        <v>2</v>
      </c>
      <c r="I257" t="s">
        <v>737</v>
      </c>
      <c r="J257">
        <v>15.245799999999999</v>
      </c>
      <c r="K257" t="s">
        <v>22</v>
      </c>
      <c r="L257" t="s">
        <v>213</v>
      </c>
    </row>
    <row r="258" spans="1:12" x14ac:dyDescent="0.3">
      <c r="A258">
        <v>257</v>
      </c>
      <c r="B258">
        <v>1</v>
      </c>
      <c r="C258">
        <v>1</v>
      </c>
      <c r="D258" t="s">
        <v>738</v>
      </c>
      <c r="E258" t="s">
        <v>210</v>
      </c>
      <c r="G258">
        <v>0</v>
      </c>
      <c r="H258">
        <v>0</v>
      </c>
      <c r="I258" t="s">
        <v>739</v>
      </c>
      <c r="J258">
        <v>79.2</v>
      </c>
      <c r="K258" t="s">
        <v>22</v>
      </c>
      <c r="L258" t="s">
        <v>213</v>
      </c>
    </row>
    <row r="259" spans="1:12" x14ac:dyDescent="0.3">
      <c r="A259">
        <v>258</v>
      </c>
      <c r="B259">
        <v>1</v>
      </c>
      <c r="C259">
        <v>1</v>
      </c>
      <c r="D259" t="s">
        <v>740</v>
      </c>
      <c r="E259" t="s">
        <v>210</v>
      </c>
      <c r="F259">
        <v>30</v>
      </c>
      <c r="G259">
        <v>0</v>
      </c>
      <c r="H259">
        <v>0</v>
      </c>
      <c r="I259" t="s">
        <v>741</v>
      </c>
      <c r="J259">
        <v>86.5</v>
      </c>
      <c r="K259" t="s">
        <v>742</v>
      </c>
      <c r="L259" t="s">
        <v>208</v>
      </c>
    </row>
    <row r="260" spans="1:12" x14ac:dyDescent="0.3">
      <c r="A260">
        <v>259</v>
      </c>
      <c r="B260">
        <v>1</v>
      </c>
      <c r="C260">
        <v>1</v>
      </c>
      <c r="D260" t="s">
        <v>743</v>
      </c>
      <c r="E260" t="s">
        <v>210</v>
      </c>
      <c r="F260">
        <v>35</v>
      </c>
      <c r="G260">
        <v>0</v>
      </c>
      <c r="H260">
        <v>0</v>
      </c>
      <c r="I260" t="s">
        <v>744</v>
      </c>
      <c r="J260">
        <v>512.32920000000001</v>
      </c>
      <c r="K260" t="s">
        <v>22</v>
      </c>
      <c r="L260" t="s">
        <v>213</v>
      </c>
    </row>
    <row r="261" spans="1:12" x14ac:dyDescent="0.3">
      <c r="A261">
        <v>260</v>
      </c>
      <c r="B261">
        <v>1</v>
      </c>
      <c r="C261">
        <v>2</v>
      </c>
      <c r="D261" t="s">
        <v>745</v>
      </c>
      <c r="E261" t="s">
        <v>210</v>
      </c>
      <c r="F261">
        <v>50</v>
      </c>
      <c r="G261">
        <v>0</v>
      </c>
      <c r="H261">
        <v>1</v>
      </c>
      <c r="I261" t="s">
        <v>746</v>
      </c>
      <c r="J261">
        <v>26</v>
      </c>
      <c r="K261" t="s">
        <v>22</v>
      </c>
      <c r="L261" t="s">
        <v>208</v>
      </c>
    </row>
    <row r="262" spans="1:12" x14ac:dyDescent="0.3">
      <c r="A262">
        <v>261</v>
      </c>
      <c r="B262">
        <v>0</v>
      </c>
      <c r="C262">
        <v>3</v>
      </c>
      <c r="D262" t="s">
        <v>747</v>
      </c>
      <c r="E262" t="s">
        <v>206</v>
      </c>
      <c r="G262">
        <v>0</v>
      </c>
      <c r="H262">
        <v>0</v>
      </c>
      <c r="I262" t="s">
        <v>748</v>
      </c>
      <c r="J262">
        <v>7.75</v>
      </c>
      <c r="K262" t="s">
        <v>22</v>
      </c>
      <c r="L262" t="s">
        <v>223</v>
      </c>
    </row>
    <row r="263" spans="1:12" x14ac:dyDescent="0.3">
      <c r="A263">
        <v>262</v>
      </c>
      <c r="B263">
        <v>1</v>
      </c>
      <c r="C263">
        <v>3</v>
      </c>
      <c r="D263" t="s">
        <v>749</v>
      </c>
      <c r="E263" t="s">
        <v>206</v>
      </c>
      <c r="F263">
        <v>3</v>
      </c>
      <c r="G263">
        <v>4</v>
      </c>
      <c r="H263">
        <v>2</v>
      </c>
      <c r="I263" t="s">
        <v>267</v>
      </c>
      <c r="J263">
        <v>31.387499999999999</v>
      </c>
      <c r="K263" t="s">
        <v>22</v>
      </c>
      <c r="L263" t="s">
        <v>208</v>
      </c>
    </row>
    <row r="264" spans="1:12" x14ac:dyDescent="0.3">
      <c r="A264">
        <v>263</v>
      </c>
      <c r="B264">
        <v>0</v>
      </c>
      <c r="C264">
        <v>1</v>
      </c>
      <c r="D264" t="s">
        <v>750</v>
      </c>
      <c r="E264" t="s">
        <v>206</v>
      </c>
      <c r="F264">
        <v>52</v>
      </c>
      <c r="G264">
        <v>1</v>
      </c>
      <c r="H264">
        <v>1</v>
      </c>
      <c r="I264" t="s">
        <v>751</v>
      </c>
      <c r="J264">
        <v>79.650000000000006</v>
      </c>
      <c r="K264" t="s">
        <v>752</v>
      </c>
      <c r="L264" t="s">
        <v>208</v>
      </c>
    </row>
    <row r="265" spans="1:12" x14ac:dyDescent="0.3">
      <c r="A265">
        <v>264</v>
      </c>
      <c r="B265">
        <v>0</v>
      </c>
      <c r="C265">
        <v>1</v>
      </c>
      <c r="D265" t="s">
        <v>753</v>
      </c>
      <c r="E265" t="s">
        <v>206</v>
      </c>
      <c r="F265">
        <v>40</v>
      </c>
      <c r="G265">
        <v>0</v>
      </c>
      <c r="H265">
        <v>0</v>
      </c>
      <c r="I265" t="s">
        <v>754</v>
      </c>
      <c r="J265">
        <v>0</v>
      </c>
      <c r="K265" t="s">
        <v>755</v>
      </c>
      <c r="L265" t="s">
        <v>208</v>
      </c>
    </row>
    <row r="266" spans="1:12" x14ac:dyDescent="0.3">
      <c r="A266">
        <v>265</v>
      </c>
      <c r="B266">
        <v>0</v>
      </c>
      <c r="C266">
        <v>3</v>
      </c>
      <c r="D266" t="s">
        <v>756</v>
      </c>
      <c r="E266" t="s">
        <v>210</v>
      </c>
      <c r="G266">
        <v>0</v>
      </c>
      <c r="H266">
        <v>0</v>
      </c>
      <c r="I266" t="s">
        <v>757</v>
      </c>
      <c r="J266">
        <v>7.75</v>
      </c>
      <c r="K266" t="s">
        <v>22</v>
      </c>
      <c r="L266" t="s">
        <v>223</v>
      </c>
    </row>
    <row r="267" spans="1:12" x14ac:dyDescent="0.3">
      <c r="A267">
        <v>266</v>
      </c>
      <c r="B267">
        <v>0</v>
      </c>
      <c r="C267">
        <v>2</v>
      </c>
      <c r="D267" t="s">
        <v>758</v>
      </c>
      <c r="E267" t="s">
        <v>206</v>
      </c>
      <c r="F267">
        <v>36</v>
      </c>
      <c r="G267">
        <v>0</v>
      </c>
      <c r="H267">
        <v>0</v>
      </c>
      <c r="I267" t="s">
        <v>759</v>
      </c>
      <c r="J267">
        <v>10.5</v>
      </c>
      <c r="K267" t="s">
        <v>22</v>
      </c>
      <c r="L267" t="s">
        <v>208</v>
      </c>
    </row>
    <row r="268" spans="1:12" x14ac:dyDescent="0.3">
      <c r="A268">
        <v>267</v>
      </c>
      <c r="B268">
        <v>0</v>
      </c>
      <c r="C268">
        <v>3</v>
      </c>
      <c r="D268" t="s">
        <v>760</v>
      </c>
      <c r="E268" t="s">
        <v>206</v>
      </c>
      <c r="F268">
        <v>16</v>
      </c>
      <c r="G268">
        <v>4</v>
      </c>
      <c r="H268">
        <v>1</v>
      </c>
      <c r="I268" t="s">
        <v>319</v>
      </c>
      <c r="J268">
        <v>39.6875</v>
      </c>
      <c r="K268" t="s">
        <v>22</v>
      </c>
      <c r="L268" t="s">
        <v>208</v>
      </c>
    </row>
    <row r="269" spans="1:12" x14ac:dyDescent="0.3">
      <c r="A269">
        <v>268</v>
      </c>
      <c r="B269">
        <v>1</v>
      </c>
      <c r="C269">
        <v>3</v>
      </c>
      <c r="D269" t="s">
        <v>761</v>
      </c>
      <c r="E269" t="s">
        <v>206</v>
      </c>
      <c r="F269">
        <v>25</v>
      </c>
      <c r="G269">
        <v>1</v>
      </c>
      <c r="H269">
        <v>0</v>
      </c>
      <c r="I269" t="s">
        <v>762</v>
      </c>
      <c r="J269">
        <v>7.7750000000000004</v>
      </c>
      <c r="K269" t="s">
        <v>22</v>
      </c>
      <c r="L269" t="s">
        <v>208</v>
      </c>
    </row>
    <row r="270" spans="1:12" x14ac:dyDescent="0.3">
      <c r="A270">
        <v>269</v>
      </c>
      <c r="B270">
        <v>1</v>
      </c>
      <c r="C270">
        <v>1</v>
      </c>
      <c r="D270" t="s">
        <v>763</v>
      </c>
      <c r="E270" t="s">
        <v>210</v>
      </c>
      <c r="F270">
        <v>58</v>
      </c>
      <c r="G270">
        <v>0</v>
      </c>
      <c r="H270">
        <v>1</v>
      </c>
      <c r="I270" t="s">
        <v>764</v>
      </c>
      <c r="J270">
        <v>153.46250000000001</v>
      </c>
      <c r="K270" t="s">
        <v>765</v>
      </c>
      <c r="L270" t="s">
        <v>208</v>
      </c>
    </row>
    <row r="271" spans="1:12" x14ac:dyDescent="0.3">
      <c r="A271">
        <v>270</v>
      </c>
      <c r="B271">
        <v>1</v>
      </c>
      <c r="C271">
        <v>1</v>
      </c>
      <c r="D271" t="s">
        <v>766</v>
      </c>
      <c r="E271" t="s">
        <v>210</v>
      </c>
      <c r="F271">
        <v>35</v>
      </c>
      <c r="G271">
        <v>0</v>
      </c>
      <c r="H271">
        <v>0</v>
      </c>
      <c r="I271" t="s">
        <v>767</v>
      </c>
      <c r="J271">
        <v>135.63329999999999</v>
      </c>
      <c r="K271" t="s">
        <v>768</v>
      </c>
      <c r="L271" t="s">
        <v>208</v>
      </c>
    </row>
    <row r="272" spans="1:12" x14ac:dyDescent="0.3">
      <c r="A272">
        <v>271</v>
      </c>
      <c r="B272">
        <v>0</v>
      </c>
      <c r="C272">
        <v>1</v>
      </c>
      <c r="D272" t="s">
        <v>769</v>
      </c>
      <c r="E272" t="s">
        <v>206</v>
      </c>
      <c r="G272">
        <v>0</v>
      </c>
      <c r="H272">
        <v>0</v>
      </c>
      <c r="I272" t="s">
        <v>770</v>
      </c>
      <c r="J272">
        <v>31</v>
      </c>
      <c r="K272" t="s">
        <v>22</v>
      </c>
      <c r="L272" t="s">
        <v>208</v>
      </c>
    </row>
    <row r="273" spans="1:12" x14ac:dyDescent="0.3">
      <c r="A273">
        <v>272</v>
      </c>
      <c r="B273">
        <v>1</v>
      </c>
      <c r="C273">
        <v>3</v>
      </c>
      <c r="D273" t="s">
        <v>771</v>
      </c>
      <c r="E273" t="s">
        <v>206</v>
      </c>
      <c r="F273">
        <v>25</v>
      </c>
      <c r="G273">
        <v>0</v>
      </c>
      <c r="H273">
        <v>0</v>
      </c>
      <c r="I273" t="s">
        <v>585</v>
      </c>
      <c r="J273">
        <v>0</v>
      </c>
      <c r="K273" t="s">
        <v>22</v>
      </c>
      <c r="L273" t="s">
        <v>208</v>
      </c>
    </row>
    <row r="274" spans="1:12" x14ac:dyDescent="0.3">
      <c r="A274">
        <v>273</v>
      </c>
      <c r="B274">
        <v>1</v>
      </c>
      <c r="C274">
        <v>2</v>
      </c>
      <c r="D274" t="s">
        <v>772</v>
      </c>
      <c r="E274" t="s">
        <v>210</v>
      </c>
      <c r="F274">
        <v>41</v>
      </c>
      <c r="G274">
        <v>0</v>
      </c>
      <c r="H274">
        <v>1</v>
      </c>
      <c r="I274" t="s">
        <v>773</v>
      </c>
      <c r="J274">
        <v>19.5</v>
      </c>
      <c r="K274" t="s">
        <v>22</v>
      </c>
      <c r="L274" t="s">
        <v>208</v>
      </c>
    </row>
    <row r="275" spans="1:12" x14ac:dyDescent="0.3">
      <c r="A275">
        <v>274</v>
      </c>
      <c r="B275">
        <v>0</v>
      </c>
      <c r="C275">
        <v>1</v>
      </c>
      <c r="D275" t="s">
        <v>774</v>
      </c>
      <c r="E275" t="s">
        <v>206</v>
      </c>
      <c r="F275">
        <v>37</v>
      </c>
      <c r="G275">
        <v>0</v>
      </c>
      <c r="H275">
        <v>1</v>
      </c>
      <c r="I275" t="s">
        <v>775</v>
      </c>
      <c r="J275">
        <v>29.7</v>
      </c>
      <c r="K275" t="s">
        <v>776</v>
      </c>
      <c r="L275" t="s">
        <v>213</v>
      </c>
    </row>
    <row r="276" spans="1:12" x14ac:dyDescent="0.3">
      <c r="A276">
        <v>275</v>
      </c>
      <c r="B276">
        <v>1</v>
      </c>
      <c r="C276">
        <v>3</v>
      </c>
      <c r="D276" t="s">
        <v>777</v>
      </c>
      <c r="E276" t="s">
        <v>210</v>
      </c>
      <c r="G276">
        <v>0</v>
      </c>
      <c r="H276">
        <v>0</v>
      </c>
      <c r="I276" t="s">
        <v>778</v>
      </c>
      <c r="J276">
        <v>7.75</v>
      </c>
      <c r="K276" t="s">
        <v>22</v>
      </c>
      <c r="L276" t="s">
        <v>223</v>
      </c>
    </row>
    <row r="277" spans="1:12" x14ac:dyDescent="0.3">
      <c r="A277">
        <v>276</v>
      </c>
      <c r="B277">
        <v>1</v>
      </c>
      <c r="C277">
        <v>1</v>
      </c>
      <c r="D277" t="s">
        <v>779</v>
      </c>
      <c r="E277" t="s">
        <v>210</v>
      </c>
      <c r="F277">
        <v>63</v>
      </c>
      <c r="G277">
        <v>1</v>
      </c>
      <c r="H277">
        <v>0</v>
      </c>
      <c r="I277" t="s">
        <v>780</v>
      </c>
      <c r="J277">
        <v>77.958299999999994</v>
      </c>
      <c r="K277" t="s">
        <v>781</v>
      </c>
      <c r="L277" t="s">
        <v>208</v>
      </c>
    </row>
    <row r="278" spans="1:12" x14ac:dyDescent="0.3">
      <c r="A278">
        <v>277</v>
      </c>
      <c r="B278">
        <v>0</v>
      </c>
      <c r="C278">
        <v>3</v>
      </c>
      <c r="D278" t="s">
        <v>782</v>
      </c>
      <c r="E278" t="s">
        <v>210</v>
      </c>
      <c r="F278">
        <v>45</v>
      </c>
      <c r="G278">
        <v>0</v>
      </c>
      <c r="H278">
        <v>0</v>
      </c>
      <c r="I278" t="s">
        <v>783</v>
      </c>
      <c r="J278">
        <v>7.75</v>
      </c>
      <c r="K278" t="s">
        <v>22</v>
      </c>
      <c r="L278" t="s">
        <v>208</v>
      </c>
    </row>
    <row r="279" spans="1:12" x14ac:dyDescent="0.3">
      <c r="A279">
        <v>278</v>
      </c>
      <c r="B279">
        <v>0</v>
      </c>
      <c r="C279">
        <v>2</v>
      </c>
      <c r="D279" t="s">
        <v>784</v>
      </c>
      <c r="E279" t="s">
        <v>206</v>
      </c>
      <c r="G279">
        <v>0</v>
      </c>
      <c r="H279">
        <v>0</v>
      </c>
      <c r="I279" t="s">
        <v>785</v>
      </c>
      <c r="J279">
        <v>0</v>
      </c>
      <c r="K279" t="s">
        <v>22</v>
      </c>
      <c r="L279" t="s">
        <v>208</v>
      </c>
    </row>
    <row r="280" spans="1:12" x14ac:dyDescent="0.3">
      <c r="A280">
        <v>279</v>
      </c>
      <c r="B280">
        <v>0</v>
      </c>
      <c r="C280">
        <v>3</v>
      </c>
      <c r="D280" t="s">
        <v>786</v>
      </c>
      <c r="E280" t="s">
        <v>206</v>
      </c>
      <c r="F280">
        <v>7</v>
      </c>
      <c r="G280">
        <v>4</v>
      </c>
      <c r="H280">
        <v>1</v>
      </c>
      <c r="I280" t="s">
        <v>248</v>
      </c>
      <c r="J280">
        <v>29.125</v>
      </c>
      <c r="K280" t="s">
        <v>22</v>
      </c>
      <c r="L280" t="s">
        <v>223</v>
      </c>
    </row>
    <row r="281" spans="1:12" x14ac:dyDescent="0.3">
      <c r="A281">
        <v>280</v>
      </c>
      <c r="B281">
        <v>1</v>
      </c>
      <c r="C281">
        <v>3</v>
      </c>
      <c r="D281" t="s">
        <v>787</v>
      </c>
      <c r="E281" t="s">
        <v>210</v>
      </c>
      <c r="F281">
        <v>35</v>
      </c>
      <c r="G281">
        <v>1</v>
      </c>
      <c r="H281">
        <v>1</v>
      </c>
      <c r="I281" t="s">
        <v>788</v>
      </c>
      <c r="J281">
        <v>20.25</v>
      </c>
      <c r="K281" t="s">
        <v>22</v>
      </c>
      <c r="L281" t="s">
        <v>208</v>
      </c>
    </row>
    <row r="282" spans="1:12" x14ac:dyDescent="0.3">
      <c r="A282">
        <v>281</v>
      </c>
      <c r="B282">
        <v>0</v>
      </c>
      <c r="C282">
        <v>3</v>
      </c>
      <c r="D282" t="s">
        <v>789</v>
      </c>
      <c r="E282" t="s">
        <v>206</v>
      </c>
      <c r="F282">
        <v>65</v>
      </c>
      <c r="G282">
        <v>0</v>
      </c>
      <c r="H282">
        <v>0</v>
      </c>
      <c r="I282" t="s">
        <v>790</v>
      </c>
      <c r="J282">
        <v>7.75</v>
      </c>
      <c r="K282" t="s">
        <v>22</v>
      </c>
      <c r="L282" t="s">
        <v>223</v>
      </c>
    </row>
    <row r="283" spans="1:12" x14ac:dyDescent="0.3">
      <c r="A283">
        <v>282</v>
      </c>
      <c r="B283">
        <v>0</v>
      </c>
      <c r="C283">
        <v>3</v>
      </c>
      <c r="D283" t="s">
        <v>791</v>
      </c>
      <c r="E283" t="s">
        <v>206</v>
      </c>
      <c r="F283">
        <v>28</v>
      </c>
      <c r="G283">
        <v>0</v>
      </c>
      <c r="H283">
        <v>0</v>
      </c>
      <c r="I283" t="s">
        <v>792</v>
      </c>
      <c r="J283">
        <v>7.8541999999999996</v>
      </c>
      <c r="K283" t="s">
        <v>22</v>
      </c>
      <c r="L283" t="s">
        <v>208</v>
      </c>
    </row>
    <row r="284" spans="1:12" x14ac:dyDescent="0.3">
      <c r="A284">
        <v>283</v>
      </c>
      <c r="B284">
        <v>0</v>
      </c>
      <c r="C284">
        <v>3</v>
      </c>
      <c r="D284" t="s">
        <v>793</v>
      </c>
      <c r="E284" t="s">
        <v>206</v>
      </c>
      <c r="F284">
        <v>16</v>
      </c>
      <c r="G284">
        <v>0</v>
      </c>
      <c r="H284">
        <v>0</v>
      </c>
      <c r="I284" t="s">
        <v>794</v>
      </c>
      <c r="J284">
        <v>9.5</v>
      </c>
      <c r="K284" t="s">
        <v>22</v>
      </c>
      <c r="L284" t="s">
        <v>208</v>
      </c>
    </row>
    <row r="285" spans="1:12" x14ac:dyDescent="0.3">
      <c r="A285">
        <v>284</v>
      </c>
      <c r="B285">
        <v>1</v>
      </c>
      <c r="C285">
        <v>3</v>
      </c>
      <c r="D285" t="s">
        <v>795</v>
      </c>
      <c r="E285" t="s">
        <v>206</v>
      </c>
      <c r="F285">
        <v>19</v>
      </c>
      <c r="G285">
        <v>0</v>
      </c>
      <c r="H285">
        <v>0</v>
      </c>
      <c r="I285" t="s">
        <v>796</v>
      </c>
      <c r="J285">
        <v>8.0500000000000007</v>
      </c>
      <c r="K285" t="s">
        <v>22</v>
      </c>
      <c r="L285" t="s">
        <v>208</v>
      </c>
    </row>
    <row r="286" spans="1:12" x14ac:dyDescent="0.3">
      <c r="A286">
        <v>285</v>
      </c>
      <c r="B286">
        <v>0</v>
      </c>
      <c r="C286">
        <v>1</v>
      </c>
      <c r="D286" t="s">
        <v>797</v>
      </c>
      <c r="E286" t="s">
        <v>206</v>
      </c>
      <c r="G286">
        <v>0</v>
      </c>
      <c r="H286">
        <v>0</v>
      </c>
      <c r="I286" t="s">
        <v>798</v>
      </c>
      <c r="J286">
        <v>26</v>
      </c>
      <c r="K286" t="s">
        <v>799</v>
      </c>
      <c r="L286" t="s">
        <v>208</v>
      </c>
    </row>
    <row r="287" spans="1:12" x14ac:dyDescent="0.3">
      <c r="A287">
        <v>286</v>
      </c>
      <c r="B287">
        <v>0</v>
      </c>
      <c r="C287">
        <v>3</v>
      </c>
      <c r="D287" t="s">
        <v>800</v>
      </c>
      <c r="E287" t="s">
        <v>206</v>
      </c>
      <c r="F287">
        <v>33</v>
      </c>
      <c r="G287">
        <v>0</v>
      </c>
      <c r="H287">
        <v>0</v>
      </c>
      <c r="I287" t="s">
        <v>801</v>
      </c>
      <c r="J287">
        <v>8.6624999999999996</v>
      </c>
      <c r="K287" t="s">
        <v>22</v>
      </c>
      <c r="L287" t="s">
        <v>213</v>
      </c>
    </row>
    <row r="288" spans="1:12" x14ac:dyDescent="0.3">
      <c r="A288">
        <v>287</v>
      </c>
      <c r="B288">
        <v>1</v>
      </c>
      <c r="C288">
        <v>3</v>
      </c>
      <c r="D288" t="s">
        <v>802</v>
      </c>
      <c r="E288" t="s">
        <v>206</v>
      </c>
      <c r="F288">
        <v>30</v>
      </c>
      <c r="G288">
        <v>0</v>
      </c>
      <c r="H288">
        <v>0</v>
      </c>
      <c r="I288" t="s">
        <v>803</v>
      </c>
      <c r="J288">
        <v>9.5</v>
      </c>
      <c r="K288" t="s">
        <v>22</v>
      </c>
      <c r="L288" t="s">
        <v>208</v>
      </c>
    </row>
    <row r="289" spans="1:12" x14ac:dyDescent="0.3">
      <c r="A289">
        <v>288</v>
      </c>
      <c r="B289">
        <v>0</v>
      </c>
      <c r="C289">
        <v>3</v>
      </c>
      <c r="D289" t="s">
        <v>804</v>
      </c>
      <c r="E289" t="s">
        <v>206</v>
      </c>
      <c r="F289">
        <v>22</v>
      </c>
      <c r="G289">
        <v>0</v>
      </c>
      <c r="H289">
        <v>0</v>
      </c>
      <c r="I289" t="s">
        <v>805</v>
      </c>
      <c r="J289">
        <v>7.8958000000000004</v>
      </c>
      <c r="K289" t="s">
        <v>22</v>
      </c>
      <c r="L289" t="s">
        <v>208</v>
      </c>
    </row>
    <row r="290" spans="1:12" x14ac:dyDescent="0.3">
      <c r="A290">
        <v>289</v>
      </c>
      <c r="B290">
        <v>1</v>
      </c>
      <c r="C290">
        <v>2</v>
      </c>
      <c r="D290" t="s">
        <v>806</v>
      </c>
      <c r="E290" t="s">
        <v>206</v>
      </c>
      <c r="F290">
        <v>42</v>
      </c>
      <c r="G290">
        <v>0</v>
      </c>
      <c r="H290">
        <v>0</v>
      </c>
      <c r="I290" t="s">
        <v>807</v>
      </c>
      <c r="J290">
        <v>13</v>
      </c>
      <c r="K290" t="s">
        <v>22</v>
      </c>
      <c r="L290" t="s">
        <v>208</v>
      </c>
    </row>
    <row r="291" spans="1:12" x14ac:dyDescent="0.3">
      <c r="A291">
        <v>290</v>
      </c>
      <c r="B291">
        <v>1</v>
      </c>
      <c r="C291">
        <v>3</v>
      </c>
      <c r="D291" t="s">
        <v>808</v>
      </c>
      <c r="E291" t="s">
        <v>210</v>
      </c>
      <c r="F291">
        <v>22</v>
      </c>
      <c r="G291">
        <v>0</v>
      </c>
      <c r="H291">
        <v>0</v>
      </c>
      <c r="I291" t="s">
        <v>809</v>
      </c>
      <c r="J291">
        <v>7.75</v>
      </c>
      <c r="K291" t="s">
        <v>22</v>
      </c>
      <c r="L291" t="s">
        <v>223</v>
      </c>
    </row>
    <row r="292" spans="1:12" x14ac:dyDescent="0.3">
      <c r="A292">
        <v>291</v>
      </c>
      <c r="B292">
        <v>1</v>
      </c>
      <c r="C292">
        <v>1</v>
      </c>
      <c r="D292" t="s">
        <v>810</v>
      </c>
      <c r="E292" t="s">
        <v>210</v>
      </c>
      <c r="F292">
        <v>26</v>
      </c>
      <c r="G292">
        <v>0</v>
      </c>
      <c r="H292">
        <v>0</v>
      </c>
      <c r="I292" t="s">
        <v>811</v>
      </c>
      <c r="J292">
        <v>78.849999999999994</v>
      </c>
      <c r="K292" t="s">
        <v>22</v>
      </c>
      <c r="L292" t="s">
        <v>208</v>
      </c>
    </row>
    <row r="293" spans="1:12" x14ac:dyDescent="0.3">
      <c r="A293">
        <v>292</v>
      </c>
      <c r="B293">
        <v>1</v>
      </c>
      <c r="C293">
        <v>1</v>
      </c>
      <c r="D293" t="s">
        <v>812</v>
      </c>
      <c r="E293" t="s">
        <v>210</v>
      </c>
      <c r="F293">
        <v>19</v>
      </c>
      <c r="G293">
        <v>1</v>
      </c>
      <c r="H293">
        <v>0</v>
      </c>
      <c r="I293" t="s">
        <v>813</v>
      </c>
      <c r="J293">
        <v>91.0792</v>
      </c>
      <c r="K293" t="s">
        <v>814</v>
      </c>
      <c r="L293" t="s">
        <v>213</v>
      </c>
    </row>
    <row r="294" spans="1:12" x14ac:dyDescent="0.3">
      <c r="A294">
        <v>293</v>
      </c>
      <c r="B294">
        <v>0</v>
      </c>
      <c r="C294">
        <v>2</v>
      </c>
      <c r="D294" t="s">
        <v>815</v>
      </c>
      <c r="E294" t="s">
        <v>206</v>
      </c>
      <c r="F294">
        <v>36</v>
      </c>
      <c r="G294">
        <v>0</v>
      </c>
      <c r="H294">
        <v>0</v>
      </c>
      <c r="I294" t="s">
        <v>816</v>
      </c>
      <c r="J294">
        <v>12.875</v>
      </c>
      <c r="K294" t="s">
        <v>817</v>
      </c>
      <c r="L294" t="s">
        <v>213</v>
      </c>
    </row>
    <row r="295" spans="1:12" x14ac:dyDescent="0.3">
      <c r="A295">
        <v>294</v>
      </c>
      <c r="B295">
        <v>0</v>
      </c>
      <c r="C295">
        <v>3</v>
      </c>
      <c r="D295" t="s">
        <v>818</v>
      </c>
      <c r="E295" t="s">
        <v>210</v>
      </c>
      <c r="F295">
        <v>24</v>
      </c>
      <c r="G295">
        <v>0</v>
      </c>
      <c r="H295">
        <v>0</v>
      </c>
      <c r="I295" t="s">
        <v>819</v>
      </c>
      <c r="J295">
        <v>8.85</v>
      </c>
      <c r="K295" t="s">
        <v>22</v>
      </c>
      <c r="L295" t="s">
        <v>208</v>
      </c>
    </row>
    <row r="296" spans="1:12" x14ac:dyDescent="0.3">
      <c r="A296">
        <v>295</v>
      </c>
      <c r="B296">
        <v>0</v>
      </c>
      <c r="C296">
        <v>3</v>
      </c>
      <c r="D296" t="s">
        <v>820</v>
      </c>
      <c r="E296" t="s">
        <v>206</v>
      </c>
      <c r="F296">
        <v>24</v>
      </c>
      <c r="G296">
        <v>0</v>
      </c>
      <c r="H296">
        <v>0</v>
      </c>
      <c r="I296" t="s">
        <v>821</v>
      </c>
      <c r="J296">
        <v>7.8958000000000004</v>
      </c>
      <c r="K296" t="s">
        <v>22</v>
      </c>
      <c r="L296" t="s">
        <v>208</v>
      </c>
    </row>
    <row r="297" spans="1:12" x14ac:dyDescent="0.3">
      <c r="A297">
        <v>296</v>
      </c>
      <c r="B297">
        <v>0</v>
      </c>
      <c r="C297">
        <v>1</v>
      </c>
      <c r="D297" t="s">
        <v>822</v>
      </c>
      <c r="E297" t="s">
        <v>206</v>
      </c>
      <c r="G297">
        <v>0</v>
      </c>
      <c r="H297">
        <v>0</v>
      </c>
      <c r="I297" t="s">
        <v>823</v>
      </c>
      <c r="J297">
        <v>27.720800000000001</v>
      </c>
      <c r="K297" t="s">
        <v>22</v>
      </c>
      <c r="L297" t="s">
        <v>213</v>
      </c>
    </row>
    <row r="298" spans="1:12" x14ac:dyDescent="0.3">
      <c r="A298">
        <v>297</v>
      </c>
      <c r="B298">
        <v>0</v>
      </c>
      <c r="C298">
        <v>3</v>
      </c>
      <c r="D298" t="s">
        <v>824</v>
      </c>
      <c r="E298" t="s">
        <v>206</v>
      </c>
      <c r="F298">
        <v>23.5</v>
      </c>
      <c r="G298">
        <v>0</v>
      </c>
      <c r="H298">
        <v>0</v>
      </c>
      <c r="I298" t="s">
        <v>825</v>
      </c>
      <c r="J298">
        <v>7.2291999999999996</v>
      </c>
      <c r="K298" t="s">
        <v>22</v>
      </c>
      <c r="L298" t="s">
        <v>213</v>
      </c>
    </row>
    <row r="299" spans="1:12" x14ac:dyDescent="0.3">
      <c r="A299">
        <v>298</v>
      </c>
      <c r="B299">
        <v>0</v>
      </c>
      <c r="C299">
        <v>1</v>
      </c>
      <c r="D299" t="s">
        <v>826</v>
      </c>
      <c r="E299" t="s">
        <v>210</v>
      </c>
      <c r="F299">
        <v>2</v>
      </c>
      <c r="G299">
        <v>1</v>
      </c>
      <c r="H299">
        <v>2</v>
      </c>
      <c r="I299" t="s">
        <v>827</v>
      </c>
      <c r="J299">
        <v>151.55000000000001</v>
      </c>
      <c r="K299" t="s">
        <v>828</v>
      </c>
      <c r="L299" t="s">
        <v>208</v>
      </c>
    </row>
    <row r="300" spans="1:12" x14ac:dyDescent="0.3">
      <c r="A300">
        <v>299</v>
      </c>
      <c r="B300">
        <v>1</v>
      </c>
      <c r="C300">
        <v>1</v>
      </c>
      <c r="D300" t="s">
        <v>829</v>
      </c>
      <c r="E300" t="s">
        <v>206</v>
      </c>
      <c r="G300">
        <v>0</v>
      </c>
      <c r="H300">
        <v>0</v>
      </c>
      <c r="I300" t="s">
        <v>830</v>
      </c>
      <c r="J300">
        <v>30.5</v>
      </c>
      <c r="K300" t="s">
        <v>831</v>
      </c>
      <c r="L300" t="s">
        <v>208</v>
      </c>
    </row>
    <row r="301" spans="1:12" x14ac:dyDescent="0.3">
      <c r="A301">
        <v>300</v>
      </c>
      <c r="B301">
        <v>1</v>
      </c>
      <c r="C301">
        <v>1</v>
      </c>
      <c r="D301" t="s">
        <v>832</v>
      </c>
      <c r="E301" t="s">
        <v>210</v>
      </c>
      <c r="F301">
        <v>50</v>
      </c>
      <c r="G301">
        <v>0</v>
      </c>
      <c r="H301">
        <v>1</v>
      </c>
      <c r="I301" t="s">
        <v>464</v>
      </c>
      <c r="J301">
        <v>247.52080000000001</v>
      </c>
      <c r="K301" t="s">
        <v>465</v>
      </c>
      <c r="L301" t="s">
        <v>213</v>
      </c>
    </row>
    <row r="302" spans="1:12" x14ac:dyDescent="0.3">
      <c r="A302">
        <v>301</v>
      </c>
      <c r="B302">
        <v>1</v>
      </c>
      <c r="C302">
        <v>3</v>
      </c>
      <c r="D302" t="s">
        <v>833</v>
      </c>
      <c r="E302" t="s">
        <v>210</v>
      </c>
      <c r="G302">
        <v>0</v>
      </c>
      <c r="H302">
        <v>0</v>
      </c>
      <c r="I302" t="s">
        <v>834</v>
      </c>
      <c r="J302">
        <v>7.75</v>
      </c>
      <c r="K302" t="s">
        <v>22</v>
      </c>
      <c r="L302" t="s">
        <v>223</v>
      </c>
    </row>
    <row r="303" spans="1:12" x14ac:dyDescent="0.3">
      <c r="A303">
        <v>302</v>
      </c>
      <c r="B303">
        <v>1</v>
      </c>
      <c r="C303">
        <v>3</v>
      </c>
      <c r="D303" t="s">
        <v>835</v>
      </c>
      <c r="E303" t="s">
        <v>206</v>
      </c>
      <c r="G303">
        <v>2</v>
      </c>
      <c r="H303">
        <v>0</v>
      </c>
      <c r="I303" t="s">
        <v>836</v>
      </c>
      <c r="J303">
        <v>23.25</v>
      </c>
      <c r="K303" t="s">
        <v>22</v>
      </c>
      <c r="L303" t="s">
        <v>223</v>
      </c>
    </row>
    <row r="304" spans="1:12" x14ac:dyDescent="0.3">
      <c r="A304">
        <v>303</v>
      </c>
      <c r="B304">
        <v>0</v>
      </c>
      <c r="C304">
        <v>3</v>
      </c>
      <c r="D304" t="s">
        <v>837</v>
      </c>
      <c r="E304" t="s">
        <v>206</v>
      </c>
      <c r="F304">
        <v>19</v>
      </c>
      <c r="G304">
        <v>0</v>
      </c>
      <c r="H304">
        <v>0</v>
      </c>
      <c r="I304" t="s">
        <v>585</v>
      </c>
      <c r="J304">
        <v>0</v>
      </c>
      <c r="K304" t="s">
        <v>22</v>
      </c>
      <c r="L304" t="s">
        <v>208</v>
      </c>
    </row>
    <row r="305" spans="1:12" x14ac:dyDescent="0.3">
      <c r="A305">
        <v>304</v>
      </c>
      <c r="B305">
        <v>1</v>
      </c>
      <c r="C305">
        <v>2</v>
      </c>
      <c r="D305" t="s">
        <v>838</v>
      </c>
      <c r="E305" t="s">
        <v>210</v>
      </c>
      <c r="G305">
        <v>0</v>
      </c>
      <c r="H305">
        <v>0</v>
      </c>
      <c r="I305" t="s">
        <v>839</v>
      </c>
      <c r="J305">
        <v>12.35</v>
      </c>
      <c r="K305" t="s">
        <v>473</v>
      </c>
      <c r="L305" t="s">
        <v>223</v>
      </c>
    </row>
    <row r="306" spans="1:12" x14ac:dyDescent="0.3">
      <c r="A306">
        <v>305</v>
      </c>
      <c r="B306">
        <v>0</v>
      </c>
      <c r="C306">
        <v>3</v>
      </c>
      <c r="D306" t="s">
        <v>840</v>
      </c>
      <c r="E306" t="s">
        <v>206</v>
      </c>
      <c r="G306">
        <v>0</v>
      </c>
      <c r="H306">
        <v>0</v>
      </c>
      <c r="I306" t="s">
        <v>841</v>
      </c>
      <c r="J306">
        <v>8.0500000000000007</v>
      </c>
      <c r="K306" t="s">
        <v>22</v>
      </c>
      <c r="L306" t="s">
        <v>208</v>
      </c>
    </row>
    <row r="307" spans="1:12" x14ac:dyDescent="0.3">
      <c r="A307">
        <v>306</v>
      </c>
      <c r="B307">
        <v>1</v>
      </c>
      <c r="C307">
        <v>1</v>
      </c>
      <c r="D307" t="s">
        <v>842</v>
      </c>
      <c r="E307" t="s">
        <v>206</v>
      </c>
      <c r="F307">
        <v>0.92</v>
      </c>
      <c r="G307">
        <v>1</v>
      </c>
      <c r="H307">
        <v>2</v>
      </c>
      <c r="I307" t="s">
        <v>827</v>
      </c>
      <c r="J307">
        <v>151.55000000000001</v>
      </c>
      <c r="K307" t="s">
        <v>828</v>
      </c>
      <c r="L307" t="s">
        <v>208</v>
      </c>
    </row>
    <row r="308" spans="1:12" x14ac:dyDescent="0.3">
      <c r="A308">
        <v>307</v>
      </c>
      <c r="B308">
        <v>1</v>
      </c>
      <c r="C308">
        <v>1</v>
      </c>
      <c r="D308" t="s">
        <v>843</v>
      </c>
      <c r="E308" t="s">
        <v>210</v>
      </c>
      <c r="G308">
        <v>0</v>
      </c>
      <c r="H308">
        <v>0</v>
      </c>
      <c r="I308" t="s">
        <v>844</v>
      </c>
      <c r="J308">
        <v>110.88330000000001</v>
      </c>
      <c r="K308" t="s">
        <v>22</v>
      </c>
      <c r="L308" t="s">
        <v>213</v>
      </c>
    </row>
    <row r="309" spans="1:12" x14ac:dyDescent="0.3">
      <c r="A309">
        <v>308</v>
      </c>
      <c r="B309">
        <v>1</v>
      </c>
      <c r="C309">
        <v>1</v>
      </c>
      <c r="D309" t="s">
        <v>845</v>
      </c>
      <c r="E309" t="s">
        <v>210</v>
      </c>
      <c r="F309">
        <v>17</v>
      </c>
      <c r="G309">
        <v>1</v>
      </c>
      <c r="H309">
        <v>0</v>
      </c>
      <c r="I309" t="s">
        <v>846</v>
      </c>
      <c r="J309">
        <v>108.9</v>
      </c>
      <c r="K309" t="s">
        <v>847</v>
      </c>
      <c r="L309" t="s">
        <v>213</v>
      </c>
    </row>
    <row r="310" spans="1:12" x14ac:dyDescent="0.3">
      <c r="A310">
        <v>309</v>
      </c>
      <c r="B310">
        <v>0</v>
      </c>
      <c r="C310">
        <v>2</v>
      </c>
      <c r="D310" t="s">
        <v>848</v>
      </c>
      <c r="E310" t="s">
        <v>206</v>
      </c>
      <c r="F310">
        <v>30</v>
      </c>
      <c r="G310">
        <v>1</v>
      </c>
      <c r="H310">
        <v>0</v>
      </c>
      <c r="I310" t="s">
        <v>849</v>
      </c>
      <c r="J310">
        <v>24</v>
      </c>
      <c r="K310" t="s">
        <v>22</v>
      </c>
      <c r="L310" t="s">
        <v>213</v>
      </c>
    </row>
    <row r="311" spans="1:12" x14ac:dyDescent="0.3">
      <c r="A311">
        <v>310</v>
      </c>
      <c r="B311">
        <v>1</v>
      </c>
      <c r="C311">
        <v>1</v>
      </c>
      <c r="D311" t="s">
        <v>850</v>
      </c>
      <c r="E311" t="s">
        <v>210</v>
      </c>
      <c r="F311">
        <v>30</v>
      </c>
      <c r="G311">
        <v>0</v>
      </c>
      <c r="H311">
        <v>0</v>
      </c>
      <c r="I311" t="s">
        <v>851</v>
      </c>
      <c r="J311">
        <v>56.929200000000002</v>
      </c>
      <c r="K311" t="s">
        <v>852</v>
      </c>
      <c r="L311" t="s">
        <v>213</v>
      </c>
    </row>
    <row r="312" spans="1:12" x14ac:dyDescent="0.3">
      <c r="A312">
        <v>311</v>
      </c>
      <c r="B312">
        <v>1</v>
      </c>
      <c r="C312">
        <v>1</v>
      </c>
      <c r="D312" t="s">
        <v>853</v>
      </c>
      <c r="E312" t="s">
        <v>210</v>
      </c>
      <c r="F312">
        <v>24</v>
      </c>
      <c r="G312">
        <v>0</v>
      </c>
      <c r="H312">
        <v>0</v>
      </c>
      <c r="I312" t="s">
        <v>854</v>
      </c>
      <c r="J312">
        <v>83.158299999999997</v>
      </c>
      <c r="K312" t="s">
        <v>855</v>
      </c>
      <c r="L312" t="s">
        <v>213</v>
      </c>
    </row>
    <row r="313" spans="1:12" x14ac:dyDescent="0.3">
      <c r="A313">
        <v>312</v>
      </c>
      <c r="B313">
        <v>1</v>
      </c>
      <c r="C313">
        <v>1</v>
      </c>
      <c r="D313" t="s">
        <v>856</v>
      </c>
      <c r="E313" t="s">
        <v>210</v>
      </c>
      <c r="F313">
        <v>18</v>
      </c>
      <c r="G313">
        <v>2</v>
      </c>
      <c r="H313">
        <v>2</v>
      </c>
      <c r="I313" t="s">
        <v>857</v>
      </c>
      <c r="J313">
        <v>262.375</v>
      </c>
      <c r="K313" t="s">
        <v>858</v>
      </c>
      <c r="L313" t="s">
        <v>213</v>
      </c>
    </row>
    <row r="314" spans="1:12" x14ac:dyDescent="0.3">
      <c r="A314">
        <v>313</v>
      </c>
      <c r="B314">
        <v>0</v>
      </c>
      <c r="C314">
        <v>2</v>
      </c>
      <c r="D314" t="s">
        <v>859</v>
      </c>
      <c r="E314" t="s">
        <v>210</v>
      </c>
      <c r="F314">
        <v>26</v>
      </c>
      <c r="G314">
        <v>1</v>
      </c>
      <c r="H314">
        <v>1</v>
      </c>
      <c r="I314" t="s">
        <v>860</v>
      </c>
      <c r="J314">
        <v>26</v>
      </c>
      <c r="K314" t="s">
        <v>22</v>
      </c>
      <c r="L314" t="s">
        <v>208</v>
      </c>
    </row>
    <row r="315" spans="1:12" x14ac:dyDescent="0.3">
      <c r="A315">
        <v>314</v>
      </c>
      <c r="B315">
        <v>0</v>
      </c>
      <c r="C315">
        <v>3</v>
      </c>
      <c r="D315" t="s">
        <v>861</v>
      </c>
      <c r="E315" t="s">
        <v>206</v>
      </c>
      <c r="F315">
        <v>28</v>
      </c>
      <c r="G315">
        <v>0</v>
      </c>
      <c r="H315">
        <v>0</v>
      </c>
      <c r="I315" t="s">
        <v>862</v>
      </c>
      <c r="J315">
        <v>7.8958000000000004</v>
      </c>
      <c r="K315" t="s">
        <v>22</v>
      </c>
      <c r="L315" t="s">
        <v>208</v>
      </c>
    </row>
    <row r="316" spans="1:12" x14ac:dyDescent="0.3">
      <c r="A316">
        <v>315</v>
      </c>
      <c r="B316">
        <v>0</v>
      </c>
      <c r="C316">
        <v>2</v>
      </c>
      <c r="D316" t="s">
        <v>863</v>
      </c>
      <c r="E316" t="s">
        <v>206</v>
      </c>
      <c r="F316">
        <v>43</v>
      </c>
      <c r="G316">
        <v>1</v>
      </c>
      <c r="H316">
        <v>1</v>
      </c>
      <c r="I316" t="s">
        <v>864</v>
      </c>
      <c r="J316">
        <v>26.25</v>
      </c>
      <c r="K316" t="s">
        <v>22</v>
      </c>
      <c r="L316" t="s">
        <v>208</v>
      </c>
    </row>
    <row r="317" spans="1:12" x14ac:dyDescent="0.3">
      <c r="A317">
        <v>316</v>
      </c>
      <c r="B317">
        <v>1</v>
      </c>
      <c r="C317">
        <v>3</v>
      </c>
      <c r="D317" t="s">
        <v>865</v>
      </c>
      <c r="E317" t="s">
        <v>210</v>
      </c>
      <c r="F317">
        <v>26</v>
      </c>
      <c r="G317">
        <v>0</v>
      </c>
      <c r="H317">
        <v>0</v>
      </c>
      <c r="I317" t="s">
        <v>866</v>
      </c>
      <c r="J317">
        <v>7.8541999999999996</v>
      </c>
      <c r="K317" t="s">
        <v>22</v>
      </c>
      <c r="L317" t="s">
        <v>208</v>
      </c>
    </row>
    <row r="318" spans="1:12" x14ac:dyDescent="0.3">
      <c r="A318">
        <v>317</v>
      </c>
      <c r="B318">
        <v>1</v>
      </c>
      <c r="C318">
        <v>2</v>
      </c>
      <c r="D318" t="s">
        <v>867</v>
      </c>
      <c r="E318" t="s">
        <v>210</v>
      </c>
      <c r="F318">
        <v>24</v>
      </c>
      <c r="G318">
        <v>1</v>
      </c>
      <c r="H318">
        <v>0</v>
      </c>
      <c r="I318" t="s">
        <v>425</v>
      </c>
      <c r="J318">
        <v>26</v>
      </c>
      <c r="K318" t="s">
        <v>22</v>
      </c>
      <c r="L318" t="s">
        <v>208</v>
      </c>
    </row>
    <row r="319" spans="1:12" x14ac:dyDescent="0.3">
      <c r="A319">
        <v>318</v>
      </c>
      <c r="B319">
        <v>0</v>
      </c>
      <c r="C319">
        <v>2</v>
      </c>
      <c r="D319" t="s">
        <v>868</v>
      </c>
      <c r="E319" t="s">
        <v>206</v>
      </c>
      <c r="F319">
        <v>54</v>
      </c>
      <c r="G319">
        <v>0</v>
      </c>
      <c r="H319">
        <v>0</v>
      </c>
      <c r="I319" t="s">
        <v>869</v>
      </c>
      <c r="J319">
        <v>14</v>
      </c>
      <c r="K319" t="s">
        <v>22</v>
      </c>
      <c r="L319" t="s">
        <v>208</v>
      </c>
    </row>
    <row r="320" spans="1:12" x14ac:dyDescent="0.3">
      <c r="A320">
        <v>319</v>
      </c>
      <c r="B320">
        <v>1</v>
      </c>
      <c r="C320">
        <v>1</v>
      </c>
      <c r="D320" t="s">
        <v>870</v>
      </c>
      <c r="E320" t="s">
        <v>210</v>
      </c>
      <c r="F320">
        <v>31</v>
      </c>
      <c r="G320">
        <v>0</v>
      </c>
      <c r="H320">
        <v>2</v>
      </c>
      <c r="I320" t="s">
        <v>871</v>
      </c>
      <c r="J320">
        <v>164.86670000000001</v>
      </c>
      <c r="K320" t="s">
        <v>872</v>
      </c>
      <c r="L320" t="s">
        <v>208</v>
      </c>
    </row>
    <row r="321" spans="1:12" x14ac:dyDescent="0.3">
      <c r="A321">
        <v>320</v>
      </c>
      <c r="B321">
        <v>1</v>
      </c>
      <c r="C321">
        <v>1</v>
      </c>
      <c r="D321" t="s">
        <v>873</v>
      </c>
      <c r="E321" t="s">
        <v>210</v>
      </c>
      <c r="F321">
        <v>40</v>
      </c>
      <c r="G321">
        <v>1</v>
      </c>
      <c r="H321">
        <v>1</v>
      </c>
      <c r="I321" t="s">
        <v>874</v>
      </c>
      <c r="J321">
        <v>134.5</v>
      </c>
      <c r="K321" t="s">
        <v>875</v>
      </c>
      <c r="L321" t="s">
        <v>213</v>
      </c>
    </row>
    <row r="322" spans="1:12" x14ac:dyDescent="0.3">
      <c r="A322">
        <v>321</v>
      </c>
      <c r="B322">
        <v>0</v>
      </c>
      <c r="C322">
        <v>3</v>
      </c>
      <c r="D322" t="s">
        <v>876</v>
      </c>
      <c r="E322" t="s">
        <v>206</v>
      </c>
      <c r="F322">
        <v>22</v>
      </c>
      <c r="G322">
        <v>0</v>
      </c>
      <c r="H322">
        <v>0</v>
      </c>
      <c r="I322" t="s">
        <v>877</v>
      </c>
      <c r="J322">
        <v>7.25</v>
      </c>
      <c r="K322" t="s">
        <v>22</v>
      </c>
      <c r="L322" t="s">
        <v>208</v>
      </c>
    </row>
    <row r="323" spans="1:12" x14ac:dyDescent="0.3">
      <c r="A323">
        <v>322</v>
      </c>
      <c r="B323">
        <v>0</v>
      </c>
      <c r="C323">
        <v>3</v>
      </c>
      <c r="D323" t="s">
        <v>878</v>
      </c>
      <c r="E323" t="s">
        <v>206</v>
      </c>
      <c r="F323">
        <v>27</v>
      </c>
      <c r="G323">
        <v>0</v>
      </c>
      <c r="H323">
        <v>0</v>
      </c>
      <c r="I323" t="s">
        <v>879</v>
      </c>
      <c r="J323">
        <v>7.8958000000000004</v>
      </c>
      <c r="K323" t="s">
        <v>22</v>
      </c>
      <c r="L323" t="s">
        <v>208</v>
      </c>
    </row>
    <row r="324" spans="1:12" x14ac:dyDescent="0.3">
      <c r="A324">
        <v>323</v>
      </c>
      <c r="B324">
        <v>1</v>
      </c>
      <c r="C324">
        <v>2</v>
      </c>
      <c r="D324" t="s">
        <v>880</v>
      </c>
      <c r="E324" t="s">
        <v>210</v>
      </c>
      <c r="F324">
        <v>30</v>
      </c>
      <c r="G324">
        <v>0</v>
      </c>
      <c r="H324">
        <v>0</v>
      </c>
      <c r="I324" t="s">
        <v>881</v>
      </c>
      <c r="J324">
        <v>12.35</v>
      </c>
      <c r="K324" t="s">
        <v>22</v>
      </c>
      <c r="L324" t="s">
        <v>223</v>
      </c>
    </row>
    <row r="325" spans="1:12" x14ac:dyDescent="0.3">
      <c r="A325">
        <v>324</v>
      </c>
      <c r="B325">
        <v>1</v>
      </c>
      <c r="C325">
        <v>2</v>
      </c>
      <c r="D325" t="s">
        <v>882</v>
      </c>
      <c r="E325" t="s">
        <v>210</v>
      </c>
      <c r="F325">
        <v>22</v>
      </c>
      <c r="G325">
        <v>1</v>
      </c>
      <c r="H325">
        <v>1</v>
      </c>
      <c r="I325" t="s">
        <v>381</v>
      </c>
      <c r="J325">
        <v>29</v>
      </c>
      <c r="K325" t="s">
        <v>22</v>
      </c>
      <c r="L325" t="s">
        <v>208</v>
      </c>
    </row>
    <row r="326" spans="1:12" x14ac:dyDescent="0.3">
      <c r="A326">
        <v>325</v>
      </c>
      <c r="B326">
        <v>0</v>
      </c>
      <c r="C326">
        <v>3</v>
      </c>
      <c r="D326" t="s">
        <v>883</v>
      </c>
      <c r="E326" t="s">
        <v>206</v>
      </c>
      <c r="G326">
        <v>8</v>
      </c>
      <c r="H326">
        <v>2</v>
      </c>
      <c r="I326" t="s">
        <v>546</v>
      </c>
      <c r="J326">
        <v>69.55</v>
      </c>
      <c r="K326" t="s">
        <v>22</v>
      </c>
      <c r="L326" t="s">
        <v>208</v>
      </c>
    </row>
    <row r="327" spans="1:12" x14ac:dyDescent="0.3">
      <c r="A327">
        <v>326</v>
      </c>
      <c r="B327">
        <v>1</v>
      </c>
      <c r="C327">
        <v>1</v>
      </c>
      <c r="D327" t="s">
        <v>884</v>
      </c>
      <c r="E327" t="s">
        <v>210</v>
      </c>
      <c r="F327">
        <v>36</v>
      </c>
      <c r="G327">
        <v>0</v>
      </c>
      <c r="H327">
        <v>0</v>
      </c>
      <c r="I327" t="s">
        <v>767</v>
      </c>
      <c r="J327">
        <v>135.63329999999999</v>
      </c>
      <c r="K327" t="s">
        <v>885</v>
      </c>
      <c r="L327" t="s">
        <v>213</v>
      </c>
    </row>
    <row r="328" spans="1:12" x14ac:dyDescent="0.3">
      <c r="A328">
        <v>327</v>
      </c>
      <c r="B328">
        <v>0</v>
      </c>
      <c r="C328">
        <v>3</v>
      </c>
      <c r="D328" t="s">
        <v>886</v>
      </c>
      <c r="E328" t="s">
        <v>206</v>
      </c>
      <c r="F328">
        <v>61</v>
      </c>
      <c r="G328">
        <v>0</v>
      </c>
      <c r="H328">
        <v>0</v>
      </c>
      <c r="I328" t="s">
        <v>887</v>
      </c>
      <c r="J328">
        <v>6.2374999999999998</v>
      </c>
      <c r="K328" t="s">
        <v>22</v>
      </c>
      <c r="L328" t="s">
        <v>208</v>
      </c>
    </row>
    <row r="329" spans="1:12" x14ac:dyDescent="0.3">
      <c r="A329">
        <v>328</v>
      </c>
      <c r="B329">
        <v>1</v>
      </c>
      <c r="C329">
        <v>2</v>
      </c>
      <c r="D329" t="s">
        <v>888</v>
      </c>
      <c r="E329" t="s">
        <v>210</v>
      </c>
      <c r="F329">
        <v>36</v>
      </c>
      <c r="G329">
        <v>0</v>
      </c>
      <c r="H329">
        <v>0</v>
      </c>
      <c r="I329" t="s">
        <v>889</v>
      </c>
      <c r="J329">
        <v>13</v>
      </c>
      <c r="K329" t="s">
        <v>817</v>
      </c>
      <c r="L329" t="s">
        <v>208</v>
      </c>
    </row>
    <row r="330" spans="1:12" x14ac:dyDescent="0.3">
      <c r="A330">
        <v>329</v>
      </c>
      <c r="B330">
        <v>1</v>
      </c>
      <c r="C330">
        <v>3</v>
      </c>
      <c r="D330" t="s">
        <v>890</v>
      </c>
      <c r="E330" t="s">
        <v>210</v>
      </c>
      <c r="F330">
        <v>31</v>
      </c>
      <c r="G330">
        <v>1</v>
      </c>
      <c r="H330">
        <v>1</v>
      </c>
      <c r="I330" t="s">
        <v>557</v>
      </c>
      <c r="J330">
        <v>20.524999999999999</v>
      </c>
      <c r="K330" t="s">
        <v>22</v>
      </c>
      <c r="L330" t="s">
        <v>208</v>
      </c>
    </row>
    <row r="331" spans="1:12" x14ac:dyDescent="0.3">
      <c r="A331">
        <v>330</v>
      </c>
      <c r="B331">
        <v>1</v>
      </c>
      <c r="C331">
        <v>1</v>
      </c>
      <c r="D331" t="s">
        <v>891</v>
      </c>
      <c r="E331" t="s">
        <v>210</v>
      </c>
      <c r="F331">
        <v>16</v>
      </c>
      <c r="G331">
        <v>0</v>
      </c>
      <c r="H331">
        <v>1</v>
      </c>
      <c r="I331" t="s">
        <v>892</v>
      </c>
      <c r="J331">
        <v>57.979199999999999</v>
      </c>
      <c r="K331" t="s">
        <v>893</v>
      </c>
      <c r="L331" t="s">
        <v>213</v>
      </c>
    </row>
    <row r="332" spans="1:12" x14ac:dyDescent="0.3">
      <c r="A332">
        <v>331</v>
      </c>
      <c r="B332">
        <v>1</v>
      </c>
      <c r="C332">
        <v>3</v>
      </c>
      <c r="D332" t="s">
        <v>894</v>
      </c>
      <c r="E332" t="s">
        <v>210</v>
      </c>
      <c r="G332">
        <v>2</v>
      </c>
      <c r="H332">
        <v>0</v>
      </c>
      <c r="I332" t="s">
        <v>836</v>
      </c>
      <c r="J332">
        <v>23.25</v>
      </c>
      <c r="K332" t="s">
        <v>22</v>
      </c>
      <c r="L332" t="s">
        <v>223</v>
      </c>
    </row>
    <row r="333" spans="1:12" x14ac:dyDescent="0.3">
      <c r="A333">
        <v>332</v>
      </c>
      <c r="B333">
        <v>0</v>
      </c>
      <c r="C333">
        <v>1</v>
      </c>
      <c r="D333" t="s">
        <v>895</v>
      </c>
      <c r="E333" t="s">
        <v>206</v>
      </c>
      <c r="F333">
        <v>45.5</v>
      </c>
      <c r="G333">
        <v>0</v>
      </c>
      <c r="H333">
        <v>0</v>
      </c>
      <c r="I333" t="s">
        <v>896</v>
      </c>
      <c r="J333">
        <v>28.5</v>
      </c>
      <c r="K333" t="s">
        <v>897</v>
      </c>
      <c r="L333" t="s">
        <v>208</v>
      </c>
    </row>
    <row r="334" spans="1:12" x14ac:dyDescent="0.3">
      <c r="A334">
        <v>333</v>
      </c>
      <c r="B334">
        <v>0</v>
      </c>
      <c r="C334">
        <v>1</v>
      </c>
      <c r="D334" t="s">
        <v>898</v>
      </c>
      <c r="E334" t="s">
        <v>206</v>
      </c>
      <c r="F334">
        <v>38</v>
      </c>
      <c r="G334">
        <v>0</v>
      </c>
      <c r="H334">
        <v>1</v>
      </c>
      <c r="I334" t="s">
        <v>764</v>
      </c>
      <c r="J334">
        <v>153.46250000000001</v>
      </c>
      <c r="K334" t="s">
        <v>899</v>
      </c>
      <c r="L334" t="s">
        <v>208</v>
      </c>
    </row>
    <row r="335" spans="1:12" x14ac:dyDescent="0.3">
      <c r="A335">
        <v>334</v>
      </c>
      <c r="B335">
        <v>0</v>
      </c>
      <c r="C335">
        <v>3</v>
      </c>
      <c r="D335" t="s">
        <v>900</v>
      </c>
      <c r="E335" t="s">
        <v>206</v>
      </c>
      <c r="F335">
        <v>16</v>
      </c>
      <c r="G335">
        <v>2</v>
      </c>
      <c r="H335">
        <v>0</v>
      </c>
      <c r="I335" t="s">
        <v>295</v>
      </c>
      <c r="J335">
        <v>18</v>
      </c>
      <c r="K335" t="s">
        <v>22</v>
      </c>
      <c r="L335" t="s">
        <v>208</v>
      </c>
    </row>
    <row r="336" spans="1:12" x14ac:dyDescent="0.3">
      <c r="A336">
        <v>335</v>
      </c>
      <c r="B336">
        <v>1</v>
      </c>
      <c r="C336">
        <v>1</v>
      </c>
      <c r="D336" t="s">
        <v>901</v>
      </c>
      <c r="E336" t="s">
        <v>210</v>
      </c>
      <c r="G336">
        <v>1</v>
      </c>
      <c r="H336">
        <v>0</v>
      </c>
      <c r="I336" t="s">
        <v>902</v>
      </c>
      <c r="J336">
        <v>133.65</v>
      </c>
      <c r="K336" t="s">
        <v>22</v>
      </c>
      <c r="L336" t="s">
        <v>208</v>
      </c>
    </row>
    <row r="337" spans="1:12" x14ac:dyDescent="0.3">
      <c r="A337">
        <v>336</v>
      </c>
      <c r="B337">
        <v>0</v>
      </c>
      <c r="C337">
        <v>3</v>
      </c>
      <c r="D337" t="s">
        <v>903</v>
      </c>
      <c r="E337" t="s">
        <v>206</v>
      </c>
      <c r="G337">
        <v>0</v>
      </c>
      <c r="H337">
        <v>0</v>
      </c>
      <c r="I337" t="s">
        <v>904</v>
      </c>
      <c r="J337">
        <v>7.8958000000000004</v>
      </c>
      <c r="K337" t="s">
        <v>22</v>
      </c>
      <c r="L337" t="s">
        <v>208</v>
      </c>
    </row>
    <row r="338" spans="1:12" x14ac:dyDescent="0.3">
      <c r="A338">
        <v>337</v>
      </c>
      <c r="B338">
        <v>0</v>
      </c>
      <c r="C338">
        <v>1</v>
      </c>
      <c r="D338" t="s">
        <v>905</v>
      </c>
      <c r="E338" t="s">
        <v>206</v>
      </c>
      <c r="F338">
        <v>29</v>
      </c>
      <c r="G338">
        <v>1</v>
      </c>
      <c r="H338">
        <v>0</v>
      </c>
      <c r="I338" t="s">
        <v>529</v>
      </c>
      <c r="J338">
        <v>66.599999999999994</v>
      </c>
      <c r="K338" t="s">
        <v>530</v>
      </c>
      <c r="L338" t="s">
        <v>208</v>
      </c>
    </row>
    <row r="339" spans="1:12" x14ac:dyDescent="0.3">
      <c r="A339">
        <v>338</v>
      </c>
      <c r="B339">
        <v>1</v>
      </c>
      <c r="C339">
        <v>1</v>
      </c>
      <c r="D339" t="s">
        <v>906</v>
      </c>
      <c r="E339" t="s">
        <v>210</v>
      </c>
      <c r="F339">
        <v>41</v>
      </c>
      <c r="G339">
        <v>0</v>
      </c>
      <c r="H339">
        <v>0</v>
      </c>
      <c r="I339" t="s">
        <v>874</v>
      </c>
      <c r="J339">
        <v>134.5</v>
      </c>
      <c r="K339" t="s">
        <v>907</v>
      </c>
      <c r="L339" t="s">
        <v>213</v>
      </c>
    </row>
    <row r="340" spans="1:12" x14ac:dyDescent="0.3">
      <c r="A340">
        <v>339</v>
      </c>
      <c r="B340">
        <v>1</v>
      </c>
      <c r="C340">
        <v>3</v>
      </c>
      <c r="D340" t="s">
        <v>908</v>
      </c>
      <c r="E340" t="s">
        <v>206</v>
      </c>
      <c r="F340">
        <v>45</v>
      </c>
      <c r="G340">
        <v>0</v>
      </c>
      <c r="H340">
        <v>0</v>
      </c>
      <c r="I340" t="s">
        <v>909</v>
      </c>
      <c r="J340">
        <v>8.0500000000000007</v>
      </c>
      <c r="K340" t="s">
        <v>22</v>
      </c>
      <c r="L340" t="s">
        <v>208</v>
      </c>
    </row>
    <row r="341" spans="1:12" x14ac:dyDescent="0.3">
      <c r="A341">
        <v>340</v>
      </c>
      <c r="B341">
        <v>0</v>
      </c>
      <c r="C341">
        <v>1</v>
      </c>
      <c r="D341" t="s">
        <v>910</v>
      </c>
      <c r="E341" t="s">
        <v>206</v>
      </c>
      <c r="F341">
        <v>45</v>
      </c>
      <c r="G341">
        <v>0</v>
      </c>
      <c r="H341">
        <v>0</v>
      </c>
      <c r="I341" t="s">
        <v>911</v>
      </c>
      <c r="J341">
        <v>35.5</v>
      </c>
      <c r="K341" t="s">
        <v>912</v>
      </c>
      <c r="L341" t="s">
        <v>208</v>
      </c>
    </row>
    <row r="342" spans="1:12" x14ac:dyDescent="0.3">
      <c r="A342">
        <v>341</v>
      </c>
      <c r="B342">
        <v>1</v>
      </c>
      <c r="C342">
        <v>2</v>
      </c>
      <c r="D342" t="s">
        <v>913</v>
      </c>
      <c r="E342" t="s">
        <v>206</v>
      </c>
      <c r="F342">
        <v>2</v>
      </c>
      <c r="G342">
        <v>1</v>
      </c>
      <c r="H342">
        <v>1</v>
      </c>
      <c r="I342" t="s">
        <v>522</v>
      </c>
      <c r="J342">
        <v>26</v>
      </c>
      <c r="K342" t="s">
        <v>523</v>
      </c>
      <c r="L342" t="s">
        <v>208</v>
      </c>
    </row>
    <row r="343" spans="1:12" x14ac:dyDescent="0.3">
      <c r="A343">
        <v>342</v>
      </c>
      <c r="B343">
        <v>1</v>
      </c>
      <c r="C343">
        <v>1</v>
      </c>
      <c r="D343" t="s">
        <v>914</v>
      </c>
      <c r="E343" t="s">
        <v>210</v>
      </c>
      <c r="F343">
        <v>24</v>
      </c>
      <c r="G343">
        <v>3</v>
      </c>
      <c r="H343">
        <v>2</v>
      </c>
      <c r="I343" t="s">
        <v>271</v>
      </c>
      <c r="J343">
        <v>263</v>
      </c>
      <c r="K343" t="s">
        <v>272</v>
      </c>
      <c r="L343" t="s">
        <v>208</v>
      </c>
    </row>
    <row r="344" spans="1:12" x14ac:dyDescent="0.3">
      <c r="A344">
        <v>343</v>
      </c>
      <c r="B344">
        <v>0</v>
      </c>
      <c r="C344">
        <v>2</v>
      </c>
      <c r="D344" t="s">
        <v>915</v>
      </c>
      <c r="E344" t="s">
        <v>206</v>
      </c>
      <c r="F344">
        <v>28</v>
      </c>
      <c r="G344">
        <v>0</v>
      </c>
      <c r="H344">
        <v>0</v>
      </c>
      <c r="I344" t="s">
        <v>916</v>
      </c>
      <c r="J344">
        <v>13</v>
      </c>
      <c r="K344" t="s">
        <v>22</v>
      </c>
      <c r="L344" t="s">
        <v>208</v>
      </c>
    </row>
    <row r="345" spans="1:12" x14ac:dyDescent="0.3">
      <c r="A345">
        <v>344</v>
      </c>
      <c r="B345">
        <v>0</v>
      </c>
      <c r="C345">
        <v>2</v>
      </c>
      <c r="D345" t="s">
        <v>917</v>
      </c>
      <c r="E345" t="s">
        <v>206</v>
      </c>
      <c r="F345">
        <v>25</v>
      </c>
      <c r="G345">
        <v>0</v>
      </c>
      <c r="H345">
        <v>0</v>
      </c>
      <c r="I345" t="s">
        <v>918</v>
      </c>
      <c r="J345">
        <v>13</v>
      </c>
      <c r="K345" t="s">
        <v>22</v>
      </c>
      <c r="L345" t="s">
        <v>208</v>
      </c>
    </row>
    <row r="346" spans="1:12" x14ac:dyDescent="0.3">
      <c r="A346">
        <v>345</v>
      </c>
      <c r="B346">
        <v>0</v>
      </c>
      <c r="C346">
        <v>2</v>
      </c>
      <c r="D346" t="s">
        <v>919</v>
      </c>
      <c r="E346" t="s">
        <v>206</v>
      </c>
      <c r="F346">
        <v>36</v>
      </c>
      <c r="G346">
        <v>0</v>
      </c>
      <c r="H346">
        <v>0</v>
      </c>
      <c r="I346" t="s">
        <v>920</v>
      </c>
      <c r="J346">
        <v>13</v>
      </c>
      <c r="K346" t="s">
        <v>22</v>
      </c>
      <c r="L346" t="s">
        <v>208</v>
      </c>
    </row>
    <row r="347" spans="1:12" x14ac:dyDescent="0.3">
      <c r="A347">
        <v>346</v>
      </c>
      <c r="B347">
        <v>1</v>
      </c>
      <c r="C347">
        <v>2</v>
      </c>
      <c r="D347" t="s">
        <v>921</v>
      </c>
      <c r="E347" t="s">
        <v>210</v>
      </c>
      <c r="F347">
        <v>24</v>
      </c>
      <c r="G347">
        <v>0</v>
      </c>
      <c r="H347">
        <v>0</v>
      </c>
      <c r="I347" t="s">
        <v>922</v>
      </c>
      <c r="J347">
        <v>13</v>
      </c>
      <c r="K347" t="s">
        <v>357</v>
      </c>
      <c r="L347" t="s">
        <v>208</v>
      </c>
    </row>
    <row r="348" spans="1:12" x14ac:dyDescent="0.3">
      <c r="A348">
        <v>347</v>
      </c>
      <c r="B348">
        <v>1</v>
      </c>
      <c r="C348">
        <v>2</v>
      </c>
      <c r="D348" t="s">
        <v>923</v>
      </c>
      <c r="E348" t="s">
        <v>210</v>
      </c>
      <c r="F348">
        <v>40</v>
      </c>
      <c r="G348">
        <v>0</v>
      </c>
      <c r="H348">
        <v>0</v>
      </c>
      <c r="I348" t="s">
        <v>924</v>
      </c>
      <c r="J348">
        <v>13</v>
      </c>
      <c r="K348" t="s">
        <v>22</v>
      </c>
      <c r="L348" t="s">
        <v>208</v>
      </c>
    </row>
    <row r="349" spans="1:12" x14ac:dyDescent="0.3">
      <c r="A349">
        <v>348</v>
      </c>
      <c r="B349">
        <v>1</v>
      </c>
      <c r="C349">
        <v>3</v>
      </c>
      <c r="D349" t="s">
        <v>925</v>
      </c>
      <c r="E349" t="s">
        <v>210</v>
      </c>
      <c r="G349">
        <v>1</v>
      </c>
      <c r="H349">
        <v>0</v>
      </c>
      <c r="I349" t="s">
        <v>926</v>
      </c>
      <c r="J349">
        <v>16.100000000000001</v>
      </c>
      <c r="K349" t="s">
        <v>22</v>
      </c>
      <c r="L349" t="s">
        <v>208</v>
      </c>
    </row>
    <row r="350" spans="1:12" x14ac:dyDescent="0.3">
      <c r="A350">
        <v>349</v>
      </c>
      <c r="B350">
        <v>1</v>
      </c>
      <c r="C350">
        <v>3</v>
      </c>
      <c r="D350" t="s">
        <v>927</v>
      </c>
      <c r="E350" t="s">
        <v>206</v>
      </c>
      <c r="F350">
        <v>3</v>
      </c>
      <c r="G350">
        <v>1</v>
      </c>
      <c r="H350">
        <v>1</v>
      </c>
      <c r="I350" t="s">
        <v>928</v>
      </c>
      <c r="J350">
        <v>15.9</v>
      </c>
      <c r="K350" t="s">
        <v>22</v>
      </c>
      <c r="L350" t="s">
        <v>208</v>
      </c>
    </row>
    <row r="351" spans="1:12" x14ac:dyDescent="0.3">
      <c r="A351">
        <v>350</v>
      </c>
      <c r="B351">
        <v>0</v>
      </c>
      <c r="C351">
        <v>3</v>
      </c>
      <c r="D351" t="s">
        <v>929</v>
      </c>
      <c r="E351" t="s">
        <v>206</v>
      </c>
      <c r="F351">
        <v>42</v>
      </c>
      <c r="G351">
        <v>0</v>
      </c>
      <c r="H351">
        <v>0</v>
      </c>
      <c r="I351" t="s">
        <v>930</v>
      </c>
      <c r="J351">
        <v>8.6624999999999996</v>
      </c>
      <c r="K351" t="s">
        <v>22</v>
      </c>
      <c r="L351" t="s">
        <v>208</v>
      </c>
    </row>
    <row r="352" spans="1:12" x14ac:dyDescent="0.3">
      <c r="A352">
        <v>351</v>
      </c>
      <c r="B352">
        <v>0</v>
      </c>
      <c r="C352">
        <v>3</v>
      </c>
      <c r="D352" t="s">
        <v>931</v>
      </c>
      <c r="E352" t="s">
        <v>206</v>
      </c>
      <c r="F352">
        <v>23</v>
      </c>
      <c r="G352">
        <v>0</v>
      </c>
      <c r="H352">
        <v>0</v>
      </c>
      <c r="I352" t="s">
        <v>932</v>
      </c>
      <c r="J352">
        <v>9.2249999999999996</v>
      </c>
      <c r="K352" t="s">
        <v>22</v>
      </c>
      <c r="L352" t="s">
        <v>208</v>
      </c>
    </row>
    <row r="353" spans="1:12" x14ac:dyDescent="0.3">
      <c r="A353">
        <v>352</v>
      </c>
      <c r="B353">
        <v>0</v>
      </c>
      <c r="C353">
        <v>1</v>
      </c>
      <c r="D353" t="s">
        <v>933</v>
      </c>
      <c r="E353" t="s">
        <v>206</v>
      </c>
      <c r="G353">
        <v>0</v>
      </c>
      <c r="H353">
        <v>0</v>
      </c>
      <c r="I353" t="s">
        <v>934</v>
      </c>
      <c r="J353">
        <v>35</v>
      </c>
      <c r="K353" t="s">
        <v>935</v>
      </c>
      <c r="L353" t="s">
        <v>208</v>
      </c>
    </row>
    <row r="354" spans="1:12" x14ac:dyDescent="0.3">
      <c r="A354">
        <v>353</v>
      </c>
      <c r="B354">
        <v>0</v>
      </c>
      <c r="C354">
        <v>3</v>
      </c>
      <c r="D354" t="s">
        <v>936</v>
      </c>
      <c r="E354" t="s">
        <v>206</v>
      </c>
      <c r="F354">
        <v>15</v>
      </c>
      <c r="G354">
        <v>1</v>
      </c>
      <c r="H354">
        <v>1</v>
      </c>
      <c r="I354" t="s">
        <v>937</v>
      </c>
      <c r="J354">
        <v>7.2291999999999996</v>
      </c>
      <c r="K354" t="s">
        <v>22</v>
      </c>
      <c r="L354" t="s">
        <v>213</v>
      </c>
    </row>
    <row r="355" spans="1:12" x14ac:dyDescent="0.3">
      <c r="A355">
        <v>354</v>
      </c>
      <c r="B355">
        <v>0</v>
      </c>
      <c r="C355">
        <v>3</v>
      </c>
      <c r="D355" t="s">
        <v>938</v>
      </c>
      <c r="E355" t="s">
        <v>206</v>
      </c>
      <c r="F355">
        <v>25</v>
      </c>
      <c r="G355">
        <v>1</v>
      </c>
      <c r="H355">
        <v>0</v>
      </c>
      <c r="I355" t="s">
        <v>317</v>
      </c>
      <c r="J355">
        <v>17.8</v>
      </c>
      <c r="K355" t="s">
        <v>22</v>
      </c>
      <c r="L355" t="s">
        <v>208</v>
      </c>
    </row>
    <row r="356" spans="1:12" x14ac:dyDescent="0.3">
      <c r="A356">
        <v>355</v>
      </c>
      <c r="B356">
        <v>0</v>
      </c>
      <c r="C356">
        <v>3</v>
      </c>
      <c r="D356" t="s">
        <v>939</v>
      </c>
      <c r="E356" t="s">
        <v>206</v>
      </c>
      <c r="G356">
        <v>0</v>
      </c>
      <c r="H356">
        <v>0</v>
      </c>
      <c r="I356" t="s">
        <v>940</v>
      </c>
      <c r="J356">
        <v>7.2249999999999996</v>
      </c>
      <c r="K356" t="s">
        <v>22</v>
      </c>
      <c r="L356" t="s">
        <v>213</v>
      </c>
    </row>
    <row r="357" spans="1:12" x14ac:dyDescent="0.3">
      <c r="A357">
        <v>356</v>
      </c>
      <c r="B357">
        <v>0</v>
      </c>
      <c r="C357">
        <v>3</v>
      </c>
      <c r="D357" t="s">
        <v>941</v>
      </c>
      <c r="E357" t="s">
        <v>206</v>
      </c>
      <c r="F357">
        <v>28</v>
      </c>
      <c r="G357">
        <v>0</v>
      </c>
      <c r="H357">
        <v>0</v>
      </c>
      <c r="I357" t="s">
        <v>942</v>
      </c>
      <c r="J357">
        <v>9.5</v>
      </c>
      <c r="K357" t="s">
        <v>22</v>
      </c>
      <c r="L357" t="s">
        <v>208</v>
      </c>
    </row>
    <row r="358" spans="1:12" x14ac:dyDescent="0.3">
      <c r="A358">
        <v>357</v>
      </c>
      <c r="B358">
        <v>1</v>
      </c>
      <c r="C358">
        <v>1</v>
      </c>
      <c r="D358" t="s">
        <v>943</v>
      </c>
      <c r="E358" t="s">
        <v>210</v>
      </c>
      <c r="F358">
        <v>22</v>
      </c>
      <c r="G358">
        <v>0</v>
      </c>
      <c r="H358">
        <v>1</v>
      </c>
      <c r="I358" t="s">
        <v>559</v>
      </c>
      <c r="J358">
        <v>55</v>
      </c>
      <c r="K358" t="s">
        <v>560</v>
      </c>
      <c r="L358" t="s">
        <v>208</v>
      </c>
    </row>
    <row r="359" spans="1:12" x14ac:dyDescent="0.3">
      <c r="A359">
        <v>358</v>
      </c>
      <c r="B359">
        <v>0</v>
      </c>
      <c r="C359">
        <v>2</v>
      </c>
      <c r="D359" t="s">
        <v>944</v>
      </c>
      <c r="E359" t="s">
        <v>210</v>
      </c>
      <c r="F359">
        <v>38</v>
      </c>
      <c r="G359">
        <v>0</v>
      </c>
      <c r="H359">
        <v>0</v>
      </c>
      <c r="I359" t="s">
        <v>945</v>
      </c>
      <c r="J359">
        <v>13</v>
      </c>
      <c r="K359" t="s">
        <v>22</v>
      </c>
      <c r="L359" t="s">
        <v>208</v>
      </c>
    </row>
    <row r="360" spans="1:12" x14ac:dyDescent="0.3">
      <c r="A360">
        <v>359</v>
      </c>
      <c r="B360">
        <v>1</v>
      </c>
      <c r="C360">
        <v>3</v>
      </c>
      <c r="D360" t="s">
        <v>946</v>
      </c>
      <c r="E360" t="s">
        <v>210</v>
      </c>
      <c r="G360">
        <v>0</v>
      </c>
      <c r="H360">
        <v>0</v>
      </c>
      <c r="I360" t="s">
        <v>947</v>
      </c>
      <c r="J360">
        <v>7.8792</v>
      </c>
      <c r="K360" t="s">
        <v>22</v>
      </c>
      <c r="L360" t="s">
        <v>223</v>
      </c>
    </row>
    <row r="361" spans="1:12" x14ac:dyDescent="0.3">
      <c r="A361">
        <v>360</v>
      </c>
      <c r="B361">
        <v>1</v>
      </c>
      <c r="C361">
        <v>3</v>
      </c>
      <c r="D361" t="s">
        <v>948</v>
      </c>
      <c r="E361" t="s">
        <v>210</v>
      </c>
      <c r="G361">
        <v>0</v>
      </c>
      <c r="H361">
        <v>0</v>
      </c>
      <c r="I361" t="s">
        <v>949</v>
      </c>
      <c r="J361">
        <v>7.8792</v>
      </c>
      <c r="K361" t="s">
        <v>22</v>
      </c>
      <c r="L361" t="s">
        <v>223</v>
      </c>
    </row>
    <row r="362" spans="1:12" x14ac:dyDescent="0.3">
      <c r="A362">
        <v>361</v>
      </c>
      <c r="B362">
        <v>0</v>
      </c>
      <c r="C362">
        <v>3</v>
      </c>
      <c r="D362" t="s">
        <v>950</v>
      </c>
      <c r="E362" t="s">
        <v>206</v>
      </c>
      <c r="F362">
        <v>40</v>
      </c>
      <c r="G362">
        <v>1</v>
      </c>
      <c r="H362">
        <v>4</v>
      </c>
      <c r="I362" t="s">
        <v>350</v>
      </c>
      <c r="J362">
        <v>27.9</v>
      </c>
      <c r="K362" t="s">
        <v>22</v>
      </c>
      <c r="L362" t="s">
        <v>208</v>
      </c>
    </row>
    <row r="363" spans="1:12" x14ac:dyDescent="0.3">
      <c r="A363">
        <v>362</v>
      </c>
      <c r="B363">
        <v>0</v>
      </c>
      <c r="C363">
        <v>2</v>
      </c>
      <c r="D363" t="s">
        <v>951</v>
      </c>
      <c r="E363" t="s">
        <v>206</v>
      </c>
      <c r="F363">
        <v>29</v>
      </c>
      <c r="G363">
        <v>1</v>
      </c>
      <c r="H363">
        <v>0</v>
      </c>
      <c r="I363" t="s">
        <v>952</v>
      </c>
      <c r="J363">
        <v>27.720800000000001</v>
      </c>
      <c r="K363" t="s">
        <v>22</v>
      </c>
      <c r="L363" t="s">
        <v>213</v>
      </c>
    </row>
    <row r="364" spans="1:12" x14ac:dyDescent="0.3">
      <c r="A364">
        <v>363</v>
      </c>
      <c r="B364">
        <v>0</v>
      </c>
      <c r="C364">
        <v>3</v>
      </c>
      <c r="D364" t="s">
        <v>953</v>
      </c>
      <c r="E364" t="s">
        <v>210</v>
      </c>
      <c r="F364">
        <v>45</v>
      </c>
      <c r="G364">
        <v>0</v>
      </c>
      <c r="H364">
        <v>1</v>
      </c>
      <c r="I364" t="s">
        <v>954</v>
      </c>
      <c r="J364">
        <v>14.4542</v>
      </c>
      <c r="K364" t="s">
        <v>22</v>
      </c>
      <c r="L364" t="s">
        <v>213</v>
      </c>
    </row>
    <row r="365" spans="1:12" x14ac:dyDescent="0.3">
      <c r="A365">
        <v>364</v>
      </c>
      <c r="B365">
        <v>0</v>
      </c>
      <c r="C365">
        <v>3</v>
      </c>
      <c r="D365" t="s">
        <v>955</v>
      </c>
      <c r="E365" t="s">
        <v>206</v>
      </c>
      <c r="F365">
        <v>35</v>
      </c>
      <c r="G365">
        <v>0</v>
      </c>
      <c r="H365">
        <v>0</v>
      </c>
      <c r="I365" t="s">
        <v>956</v>
      </c>
      <c r="J365">
        <v>7.05</v>
      </c>
      <c r="K365" t="s">
        <v>22</v>
      </c>
      <c r="L365" t="s">
        <v>208</v>
      </c>
    </row>
    <row r="366" spans="1:12" x14ac:dyDescent="0.3">
      <c r="A366">
        <v>365</v>
      </c>
      <c r="B366">
        <v>0</v>
      </c>
      <c r="C366">
        <v>3</v>
      </c>
      <c r="D366" t="s">
        <v>957</v>
      </c>
      <c r="E366" t="s">
        <v>206</v>
      </c>
      <c r="G366">
        <v>1</v>
      </c>
      <c r="H366">
        <v>0</v>
      </c>
      <c r="I366" t="s">
        <v>599</v>
      </c>
      <c r="J366">
        <v>15.5</v>
      </c>
      <c r="K366" t="s">
        <v>22</v>
      </c>
      <c r="L366" t="s">
        <v>223</v>
      </c>
    </row>
    <row r="367" spans="1:12" x14ac:dyDescent="0.3">
      <c r="A367">
        <v>366</v>
      </c>
      <c r="B367">
        <v>0</v>
      </c>
      <c r="C367">
        <v>3</v>
      </c>
      <c r="D367" t="s">
        <v>958</v>
      </c>
      <c r="E367" t="s">
        <v>206</v>
      </c>
      <c r="F367">
        <v>30</v>
      </c>
      <c r="G367">
        <v>0</v>
      </c>
      <c r="H367">
        <v>0</v>
      </c>
      <c r="I367" t="s">
        <v>959</v>
      </c>
      <c r="J367">
        <v>7.25</v>
      </c>
      <c r="K367" t="s">
        <v>22</v>
      </c>
      <c r="L367" t="s">
        <v>208</v>
      </c>
    </row>
    <row r="368" spans="1:12" x14ac:dyDescent="0.3">
      <c r="A368">
        <v>367</v>
      </c>
      <c r="B368">
        <v>1</v>
      </c>
      <c r="C368">
        <v>1</v>
      </c>
      <c r="D368" t="s">
        <v>960</v>
      </c>
      <c r="E368" t="s">
        <v>210</v>
      </c>
      <c r="F368">
        <v>60</v>
      </c>
      <c r="G368">
        <v>1</v>
      </c>
      <c r="H368">
        <v>0</v>
      </c>
      <c r="I368" t="s">
        <v>961</v>
      </c>
      <c r="J368">
        <v>75.25</v>
      </c>
      <c r="K368" t="s">
        <v>962</v>
      </c>
      <c r="L368" t="s">
        <v>213</v>
      </c>
    </row>
    <row r="369" spans="1:12" x14ac:dyDescent="0.3">
      <c r="A369">
        <v>368</v>
      </c>
      <c r="B369">
        <v>1</v>
      </c>
      <c r="C369">
        <v>3</v>
      </c>
      <c r="D369" t="s">
        <v>963</v>
      </c>
      <c r="E369" t="s">
        <v>210</v>
      </c>
      <c r="G369">
        <v>0</v>
      </c>
      <c r="H369">
        <v>0</v>
      </c>
      <c r="I369" t="s">
        <v>964</v>
      </c>
      <c r="J369">
        <v>7.2291999999999996</v>
      </c>
      <c r="K369" t="s">
        <v>22</v>
      </c>
      <c r="L369" t="s">
        <v>213</v>
      </c>
    </row>
    <row r="370" spans="1:12" x14ac:dyDescent="0.3">
      <c r="A370">
        <v>369</v>
      </c>
      <c r="B370">
        <v>1</v>
      </c>
      <c r="C370">
        <v>3</v>
      </c>
      <c r="D370" t="s">
        <v>965</v>
      </c>
      <c r="E370" t="s">
        <v>210</v>
      </c>
      <c r="G370">
        <v>0</v>
      </c>
      <c r="H370">
        <v>0</v>
      </c>
      <c r="I370" t="s">
        <v>966</v>
      </c>
      <c r="J370">
        <v>7.75</v>
      </c>
      <c r="K370" t="s">
        <v>22</v>
      </c>
      <c r="L370" t="s">
        <v>223</v>
      </c>
    </row>
    <row r="371" spans="1:12" x14ac:dyDescent="0.3">
      <c r="A371">
        <v>370</v>
      </c>
      <c r="B371">
        <v>1</v>
      </c>
      <c r="C371">
        <v>1</v>
      </c>
      <c r="D371" t="s">
        <v>967</v>
      </c>
      <c r="E371" t="s">
        <v>210</v>
      </c>
      <c r="F371">
        <v>24</v>
      </c>
      <c r="G371">
        <v>0</v>
      </c>
      <c r="H371">
        <v>0</v>
      </c>
      <c r="I371" t="s">
        <v>968</v>
      </c>
      <c r="J371">
        <v>69.3</v>
      </c>
      <c r="K371" t="s">
        <v>969</v>
      </c>
      <c r="L371" t="s">
        <v>213</v>
      </c>
    </row>
    <row r="372" spans="1:12" x14ac:dyDescent="0.3">
      <c r="A372">
        <v>371</v>
      </c>
      <c r="B372">
        <v>1</v>
      </c>
      <c r="C372">
        <v>1</v>
      </c>
      <c r="D372" t="s">
        <v>970</v>
      </c>
      <c r="E372" t="s">
        <v>206</v>
      </c>
      <c r="F372">
        <v>25</v>
      </c>
      <c r="G372">
        <v>1</v>
      </c>
      <c r="H372">
        <v>0</v>
      </c>
      <c r="I372" t="s">
        <v>971</v>
      </c>
      <c r="J372">
        <v>55.441699999999997</v>
      </c>
      <c r="K372" t="s">
        <v>972</v>
      </c>
      <c r="L372" t="s">
        <v>213</v>
      </c>
    </row>
    <row r="373" spans="1:12" x14ac:dyDescent="0.3">
      <c r="A373">
        <v>372</v>
      </c>
      <c r="B373">
        <v>0</v>
      </c>
      <c r="C373">
        <v>3</v>
      </c>
      <c r="D373" t="s">
        <v>973</v>
      </c>
      <c r="E373" t="s">
        <v>206</v>
      </c>
      <c r="F373">
        <v>18</v>
      </c>
      <c r="G373">
        <v>1</v>
      </c>
      <c r="H373">
        <v>0</v>
      </c>
      <c r="I373" t="s">
        <v>974</v>
      </c>
      <c r="J373">
        <v>6.4958</v>
      </c>
      <c r="K373" t="s">
        <v>22</v>
      </c>
      <c r="L373" t="s">
        <v>208</v>
      </c>
    </row>
    <row r="374" spans="1:12" x14ac:dyDescent="0.3">
      <c r="A374">
        <v>373</v>
      </c>
      <c r="B374">
        <v>0</v>
      </c>
      <c r="C374">
        <v>3</v>
      </c>
      <c r="D374" t="s">
        <v>975</v>
      </c>
      <c r="E374" t="s">
        <v>206</v>
      </c>
      <c r="F374">
        <v>19</v>
      </c>
      <c r="G374">
        <v>0</v>
      </c>
      <c r="H374">
        <v>0</v>
      </c>
      <c r="I374" t="s">
        <v>976</v>
      </c>
      <c r="J374">
        <v>8.0500000000000007</v>
      </c>
      <c r="K374" t="s">
        <v>22</v>
      </c>
      <c r="L374" t="s">
        <v>208</v>
      </c>
    </row>
    <row r="375" spans="1:12" x14ac:dyDescent="0.3">
      <c r="A375">
        <v>374</v>
      </c>
      <c r="B375">
        <v>0</v>
      </c>
      <c r="C375">
        <v>1</v>
      </c>
      <c r="D375" t="s">
        <v>977</v>
      </c>
      <c r="E375" t="s">
        <v>206</v>
      </c>
      <c r="F375">
        <v>22</v>
      </c>
      <c r="G375">
        <v>0</v>
      </c>
      <c r="H375">
        <v>0</v>
      </c>
      <c r="I375" t="s">
        <v>767</v>
      </c>
      <c r="J375">
        <v>135.63329999999999</v>
      </c>
      <c r="K375" t="s">
        <v>22</v>
      </c>
      <c r="L375" t="s">
        <v>213</v>
      </c>
    </row>
    <row r="376" spans="1:12" x14ac:dyDescent="0.3">
      <c r="A376">
        <v>375</v>
      </c>
      <c r="B376">
        <v>0</v>
      </c>
      <c r="C376">
        <v>3</v>
      </c>
      <c r="D376" t="s">
        <v>978</v>
      </c>
      <c r="E376" t="s">
        <v>210</v>
      </c>
      <c r="F376">
        <v>3</v>
      </c>
      <c r="G376">
        <v>3</v>
      </c>
      <c r="H376">
        <v>1</v>
      </c>
      <c r="I376" t="s">
        <v>228</v>
      </c>
      <c r="J376">
        <v>21.074999999999999</v>
      </c>
      <c r="K376" t="s">
        <v>22</v>
      </c>
      <c r="L376" t="s">
        <v>208</v>
      </c>
    </row>
    <row r="377" spans="1:12" x14ac:dyDescent="0.3">
      <c r="A377">
        <v>376</v>
      </c>
      <c r="B377">
        <v>1</v>
      </c>
      <c r="C377">
        <v>1</v>
      </c>
      <c r="D377" t="s">
        <v>979</v>
      </c>
      <c r="E377" t="s">
        <v>210</v>
      </c>
      <c r="G377">
        <v>1</v>
      </c>
      <c r="H377">
        <v>0</v>
      </c>
      <c r="I377" t="s">
        <v>287</v>
      </c>
      <c r="J377">
        <v>82.1708</v>
      </c>
      <c r="K377" t="s">
        <v>22</v>
      </c>
      <c r="L377" t="s">
        <v>213</v>
      </c>
    </row>
    <row r="378" spans="1:12" x14ac:dyDescent="0.3">
      <c r="A378">
        <v>377</v>
      </c>
      <c r="B378">
        <v>1</v>
      </c>
      <c r="C378">
        <v>3</v>
      </c>
      <c r="D378" t="s">
        <v>980</v>
      </c>
      <c r="E378" t="s">
        <v>210</v>
      </c>
      <c r="F378">
        <v>22</v>
      </c>
      <c r="G378">
        <v>0</v>
      </c>
      <c r="H378">
        <v>0</v>
      </c>
      <c r="I378" t="s">
        <v>981</v>
      </c>
      <c r="J378">
        <v>7.25</v>
      </c>
      <c r="K378" t="s">
        <v>22</v>
      </c>
      <c r="L378" t="s">
        <v>208</v>
      </c>
    </row>
    <row r="379" spans="1:12" x14ac:dyDescent="0.3">
      <c r="A379">
        <v>378</v>
      </c>
      <c r="B379">
        <v>0</v>
      </c>
      <c r="C379">
        <v>1</v>
      </c>
      <c r="D379" t="s">
        <v>982</v>
      </c>
      <c r="E379" t="s">
        <v>206</v>
      </c>
      <c r="F379">
        <v>27</v>
      </c>
      <c r="G379">
        <v>0</v>
      </c>
      <c r="H379">
        <v>2</v>
      </c>
      <c r="I379" t="s">
        <v>983</v>
      </c>
      <c r="J379">
        <v>211.5</v>
      </c>
      <c r="K379" t="s">
        <v>984</v>
      </c>
      <c r="L379" t="s">
        <v>213</v>
      </c>
    </row>
    <row r="380" spans="1:12" x14ac:dyDescent="0.3">
      <c r="A380">
        <v>379</v>
      </c>
      <c r="B380">
        <v>0</v>
      </c>
      <c r="C380">
        <v>3</v>
      </c>
      <c r="D380" t="s">
        <v>985</v>
      </c>
      <c r="E380" t="s">
        <v>206</v>
      </c>
      <c r="F380">
        <v>20</v>
      </c>
      <c r="G380">
        <v>0</v>
      </c>
      <c r="H380">
        <v>0</v>
      </c>
      <c r="I380" t="s">
        <v>986</v>
      </c>
      <c r="J380">
        <v>4.0125000000000002</v>
      </c>
      <c r="K380" t="s">
        <v>22</v>
      </c>
      <c r="L380" t="s">
        <v>213</v>
      </c>
    </row>
    <row r="381" spans="1:12" x14ac:dyDescent="0.3">
      <c r="A381">
        <v>380</v>
      </c>
      <c r="B381">
        <v>0</v>
      </c>
      <c r="C381">
        <v>3</v>
      </c>
      <c r="D381" t="s">
        <v>987</v>
      </c>
      <c r="E381" t="s">
        <v>206</v>
      </c>
      <c r="F381">
        <v>19</v>
      </c>
      <c r="G381">
        <v>0</v>
      </c>
      <c r="H381">
        <v>0</v>
      </c>
      <c r="I381" t="s">
        <v>988</v>
      </c>
      <c r="J381">
        <v>7.7750000000000004</v>
      </c>
      <c r="K381" t="s">
        <v>22</v>
      </c>
      <c r="L381" t="s">
        <v>208</v>
      </c>
    </row>
    <row r="382" spans="1:12" x14ac:dyDescent="0.3">
      <c r="A382">
        <v>381</v>
      </c>
      <c r="B382">
        <v>1</v>
      </c>
      <c r="C382">
        <v>1</v>
      </c>
      <c r="D382" t="s">
        <v>989</v>
      </c>
      <c r="E382" t="s">
        <v>210</v>
      </c>
      <c r="F382">
        <v>42</v>
      </c>
      <c r="G382">
        <v>0</v>
      </c>
      <c r="H382">
        <v>0</v>
      </c>
      <c r="I382" t="s">
        <v>990</v>
      </c>
      <c r="J382">
        <v>227.52500000000001</v>
      </c>
      <c r="K382" t="s">
        <v>22</v>
      </c>
      <c r="L382" t="s">
        <v>213</v>
      </c>
    </row>
    <row r="383" spans="1:12" x14ac:dyDescent="0.3">
      <c r="A383">
        <v>382</v>
      </c>
      <c r="B383">
        <v>1</v>
      </c>
      <c r="C383">
        <v>3</v>
      </c>
      <c r="D383" t="s">
        <v>991</v>
      </c>
      <c r="E383" t="s">
        <v>210</v>
      </c>
      <c r="F383">
        <v>1</v>
      </c>
      <c r="G383">
        <v>0</v>
      </c>
      <c r="H383">
        <v>2</v>
      </c>
      <c r="I383" t="s">
        <v>992</v>
      </c>
      <c r="J383">
        <v>15.7417</v>
      </c>
      <c r="K383" t="s">
        <v>22</v>
      </c>
      <c r="L383" t="s">
        <v>213</v>
      </c>
    </row>
    <row r="384" spans="1:12" x14ac:dyDescent="0.3">
      <c r="A384">
        <v>383</v>
      </c>
      <c r="B384">
        <v>0</v>
      </c>
      <c r="C384">
        <v>3</v>
      </c>
      <c r="D384" t="s">
        <v>993</v>
      </c>
      <c r="E384" t="s">
        <v>206</v>
      </c>
      <c r="F384">
        <v>32</v>
      </c>
      <c r="G384">
        <v>0</v>
      </c>
      <c r="H384">
        <v>0</v>
      </c>
      <c r="I384" t="s">
        <v>994</v>
      </c>
      <c r="J384">
        <v>7.9249999999999998</v>
      </c>
      <c r="K384" t="s">
        <v>22</v>
      </c>
      <c r="L384" t="s">
        <v>208</v>
      </c>
    </row>
    <row r="385" spans="1:12" x14ac:dyDescent="0.3">
      <c r="A385">
        <v>384</v>
      </c>
      <c r="B385">
        <v>1</v>
      </c>
      <c r="C385">
        <v>1</v>
      </c>
      <c r="D385" t="s">
        <v>995</v>
      </c>
      <c r="E385" t="s">
        <v>210</v>
      </c>
      <c r="F385">
        <v>35</v>
      </c>
      <c r="G385">
        <v>1</v>
      </c>
      <c r="H385">
        <v>0</v>
      </c>
      <c r="I385" t="s">
        <v>289</v>
      </c>
      <c r="J385">
        <v>52</v>
      </c>
      <c r="K385" t="s">
        <v>22</v>
      </c>
      <c r="L385" t="s">
        <v>208</v>
      </c>
    </row>
    <row r="386" spans="1:12" x14ac:dyDescent="0.3">
      <c r="A386">
        <v>385</v>
      </c>
      <c r="B386">
        <v>0</v>
      </c>
      <c r="C386">
        <v>3</v>
      </c>
      <c r="D386" t="s">
        <v>996</v>
      </c>
      <c r="E386" t="s">
        <v>206</v>
      </c>
      <c r="G386">
        <v>0</v>
      </c>
      <c r="H386">
        <v>0</v>
      </c>
      <c r="I386" t="s">
        <v>997</v>
      </c>
      <c r="J386">
        <v>7.8958000000000004</v>
      </c>
      <c r="K386" t="s">
        <v>22</v>
      </c>
      <c r="L386" t="s">
        <v>208</v>
      </c>
    </row>
    <row r="387" spans="1:12" x14ac:dyDescent="0.3">
      <c r="A387">
        <v>386</v>
      </c>
      <c r="B387">
        <v>0</v>
      </c>
      <c r="C387">
        <v>2</v>
      </c>
      <c r="D387" t="s">
        <v>998</v>
      </c>
      <c r="E387" t="s">
        <v>206</v>
      </c>
      <c r="F387">
        <v>18</v>
      </c>
      <c r="G387">
        <v>0</v>
      </c>
      <c r="H387">
        <v>0</v>
      </c>
      <c r="I387" t="s">
        <v>368</v>
      </c>
      <c r="J387">
        <v>73.5</v>
      </c>
      <c r="K387" t="s">
        <v>22</v>
      </c>
      <c r="L387" t="s">
        <v>208</v>
      </c>
    </row>
    <row r="388" spans="1:12" x14ac:dyDescent="0.3">
      <c r="A388">
        <v>387</v>
      </c>
      <c r="B388">
        <v>0</v>
      </c>
      <c r="C388">
        <v>3</v>
      </c>
      <c r="D388" t="s">
        <v>999</v>
      </c>
      <c r="E388" t="s">
        <v>206</v>
      </c>
      <c r="F388">
        <v>1</v>
      </c>
      <c r="G388">
        <v>5</v>
      </c>
      <c r="H388">
        <v>2</v>
      </c>
      <c r="I388" t="s">
        <v>340</v>
      </c>
      <c r="J388">
        <v>46.9</v>
      </c>
      <c r="K388" t="s">
        <v>22</v>
      </c>
      <c r="L388" t="s">
        <v>208</v>
      </c>
    </row>
    <row r="389" spans="1:12" x14ac:dyDescent="0.3">
      <c r="A389">
        <v>388</v>
      </c>
      <c r="B389">
        <v>1</v>
      </c>
      <c r="C389">
        <v>2</v>
      </c>
      <c r="D389" t="s">
        <v>1000</v>
      </c>
      <c r="E389" t="s">
        <v>210</v>
      </c>
      <c r="F389">
        <v>36</v>
      </c>
      <c r="G389">
        <v>0</v>
      </c>
      <c r="H389">
        <v>0</v>
      </c>
      <c r="I389" t="s">
        <v>1001</v>
      </c>
      <c r="J389">
        <v>13</v>
      </c>
      <c r="K389" t="s">
        <v>22</v>
      </c>
      <c r="L389" t="s">
        <v>208</v>
      </c>
    </row>
    <row r="390" spans="1:12" x14ac:dyDescent="0.3">
      <c r="A390">
        <v>389</v>
      </c>
      <c r="B390">
        <v>0</v>
      </c>
      <c r="C390">
        <v>3</v>
      </c>
      <c r="D390" t="s">
        <v>1002</v>
      </c>
      <c r="E390" t="s">
        <v>206</v>
      </c>
      <c r="G390">
        <v>0</v>
      </c>
      <c r="H390">
        <v>0</v>
      </c>
      <c r="I390" t="s">
        <v>1003</v>
      </c>
      <c r="J390">
        <v>7.7291999999999996</v>
      </c>
      <c r="K390" t="s">
        <v>22</v>
      </c>
      <c r="L390" t="s">
        <v>223</v>
      </c>
    </row>
    <row r="391" spans="1:12" x14ac:dyDescent="0.3">
      <c r="A391">
        <v>390</v>
      </c>
      <c r="B391">
        <v>1</v>
      </c>
      <c r="C391">
        <v>2</v>
      </c>
      <c r="D391" t="s">
        <v>1004</v>
      </c>
      <c r="E391" t="s">
        <v>210</v>
      </c>
      <c r="F391">
        <v>17</v>
      </c>
      <c r="G391">
        <v>0</v>
      </c>
      <c r="H391">
        <v>0</v>
      </c>
      <c r="I391" t="s">
        <v>1005</v>
      </c>
      <c r="J391">
        <v>12</v>
      </c>
      <c r="K391" t="s">
        <v>22</v>
      </c>
      <c r="L391" t="s">
        <v>213</v>
      </c>
    </row>
    <row r="392" spans="1:12" x14ac:dyDescent="0.3">
      <c r="A392">
        <v>391</v>
      </c>
      <c r="B392">
        <v>1</v>
      </c>
      <c r="C392">
        <v>1</v>
      </c>
      <c r="D392" t="s">
        <v>1006</v>
      </c>
      <c r="E392" t="s">
        <v>206</v>
      </c>
      <c r="F392">
        <v>36</v>
      </c>
      <c r="G392">
        <v>1</v>
      </c>
      <c r="H392">
        <v>2</v>
      </c>
      <c r="I392" t="s">
        <v>1007</v>
      </c>
      <c r="J392">
        <v>120</v>
      </c>
      <c r="K392" t="s">
        <v>1008</v>
      </c>
      <c r="L392" t="s">
        <v>208</v>
      </c>
    </row>
    <row r="393" spans="1:12" x14ac:dyDescent="0.3">
      <c r="A393">
        <v>392</v>
      </c>
      <c r="B393">
        <v>1</v>
      </c>
      <c r="C393">
        <v>3</v>
      </c>
      <c r="D393" t="s">
        <v>1009</v>
      </c>
      <c r="E393" t="s">
        <v>206</v>
      </c>
      <c r="F393">
        <v>21</v>
      </c>
      <c r="G393">
        <v>0</v>
      </c>
      <c r="H393">
        <v>0</v>
      </c>
      <c r="I393" t="s">
        <v>1010</v>
      </c>
      <c r="J393">
        <v>7.7957999999999998</v>
      </c>
      <c r="K393" t="s">
        <v>22</v>
      </c>
      <c r="L393" t="s">
        <v>208</v>
      </c>
    </row>
    <row r="394" spans="1:12" x14ac:dyDescent="0.3">
      <c r="A394">
        <v>393</v>
      </c>
      <c r="B394">
        <v>0</v>
      </c>
      <c r="C394">
        <v>3</v>
      </c>
      <c r="D394" t="s">
        <v>1011</v>
      </c>
      <c r="E394" t="s">
        <v>206</v>
      </c>
      <c r="F394">
        <v>28</v>
      </c>
      <c r="G394">
        <v>2</v>
      </c>
      <c r="H394">
        <v>0</v>
      </c>
      <c r="I394" t="s">
        <v>1012</v>
      </c>
      <c r="J394">
        <v>7.9249999999999998</v>
      </c>
      <c r="K394" t="s">
        <v>22</v>
      </c>
      <c r="L394" t="s">
        <v>208</v>
      </c>
    </row>
    <row r="395" spans="1:12" x14ac:dyDescent="0.3">
      <c r="A395">
        <v>394</v>
      </c>
      <c r="B395">
        <v>1</v>
      </c>
      <c r="C395">
        <v>1</v>
      </c>
      <c r="D395" t="s">
        <v>1013</v>
      </c>
      <c r="E395" t="s">
        <v>210</v>
      </c>
      <c r="F395">
        <v>23</v>
      </c>
      <c r="G395">
        <v>1</v>
      </c>
      <c r="H395">
        <v>0</v>
      </c>
      <c r="I395" t="s">
        <v>656</v>
      </c>
      <c r="J395">
        <v>113.27500000000001</v>
      </c>
      <c r="K395" t="s">
        <v>657</v>
      </c>
      <c r="L395" t="s">
        <v>213</v>
      </c>
    </row>
    <row r="396" spans="1:12" x14ac:dyDescent="0.3">
      <c r="A396">
        <v>395</v>
      </c>
      <c r="B396">
        <v>1</v>
      </c>
      <c r="C396">
        <v>3</v>
      </c>
      <c r="D396" t="s">
        <v>1014</v>
      </c>
      <c r="E396" t="s">
        <v>210</v>
      </c>
      <c r="F396">
        <v>24</v>
      </c>
      <c r="G396">
        <v>0</v>
      </c>
      <c r="H396">
        <v>2</v>
      </c>
      <c r="I396" t="s">
        <v>234</v>
      </c>
      <c r="J396">
        <v>16.7</v>
      </c>
      <c r="K396" t="s">
        <v>235</v>
      </c>
      <c r="L396" t="s">
        <v>208</v>
      </c>
    </row>
    <row r="397" spans="1:12" x14ac:dyDescent="0.3">
      <c r="A397">
        <v>396</v>
      </c>
      <c r="B397">
        <v>0</v>
      </c>
      <c r="C397">
        <v>3</v>
      </c>
      <c r="D397" t="s">
        <v>1015</v>
      </c>
      <c r="E397" t="s">
        <v>206</v>
      </c>
      <c r="F397">
        <v>22</v>
      </c>
      <c r="G397">
        <v>0</v>
      </c>
      <c r="H397">
        <v>0</v>
      </c>
      <c r="I397" t="s">
        <v>1016</v>
      </c>
      <c r="J397">
        <v>7.7957999999999998</v>
      </c>
      <c r="K397" t="s">
        <v>22</v>
      </c>
      <c r="L397" t="s">
        <v>208</v>
      </c>
    </row>
    <row r="398" spans="1:12" x14ac:dyDescent="0.3">
      <c r="A398">
        <v>397</v>
      </c>
      <c r="B398">
        <v>0</v>
      </c>
      <c r="C398">
        <v>3</v>
      </c>
      <c r="D398" t="s">
        <v>1017</v>
      </c>
      <c r="E398" t="s">
        <v>210</v>
      </c>
      <c r="F398">
        <v>31</v>
      </c>
      <c r="G398">
        <v>0</v>
      </c>
      <c r="H398">
        <v>0</v>
      </c>
      <c r="I398" t="s">
        <v>1018</v>
      </c>
      <c r="J398">
        <v>7.8541999999999996</v>
      </c>
      <c r="K398" t="s">
        <v>22</v>
      </c>
      <c r="L398" t="s">
        <v>208</v>
      </c>
    </row>
    <row r="399" spans="1:12" x14ac:dyDescent="0.3">
      <c r="A399">
        <v>398</v>
      </c>
      <c r="B399">
        <v>0</v>
      </c>
      <c r="C399">
        <v>2</v>
      </c>
      <c r="D399" t="s">
        <v>1019</v>
      </c>
      <c r="E399" t="s">
        <v>206</v>
      </c>
      <c r="F399">
        <v>46</v>
      </c>
      <c r="G399">
        <v>0</v>
      </c>
      <c r="H399">
        <v>0</v>
      </c>
      <c r="I399" t="s">
        <v>1020</v>
      </c>
      <c r="J399">
        <v>26</v>
      </c>
      <c r="K399" t="s">
        <v>22</v>
      </c>
      <c r="L399" t="s">
        <v>208</v>
      </c>
    </row>
    <row r="400" spans="1:12" x14ac:dyDescent="0.3">
      <c r="A400">
        <v>399</v>
      </c>
      <c r="B400">
        <v>0</v>
      </c>
      <c r="C400">
        <v>2</v>
      </c>
      <c r="D400" t="s">
        <v>1021</v>
      </c>
      <c r="E400" t="s">
        <v>206</v>
      </c>
      <c r="F400">
        <v>23</v>
      </c>
      <c r="G400">
        <v>0</v>
      </c>
      <c r="H400">
        <v>0</v>
      </c>
      <c r="I400" t="s">
        <v>1022</v>
      </c>
      <c r="J400">
        <v>10.5</v>
      </c>
      <c r="K400" t="s">
        <v>22</v>
      </c>
      <c r="L400" t="s">
        <v>208</v>
      </c>
    </row>
    <row r="401" spans="1:12" x14ac:dyDescent="0.3">
      <c r="A401">
        <v>400</v>
      </c>
      <c r="B401">
        <v>1</v>
      </c>
      <c r="C401">
        <v>2</v>
      </c>
      <c r="D401" t="s">
        <v>1023</v>
      </c>
      <c r="E401" t="s">
        <v>210</v>
      </c>
      <c r="F401">
        <v>28</v>
      </c>
      <c r="G401">
        <v>0</v>
      </c>
      <c r="H401">
        <v>0</v>
      </c>
      <c r="I401" t="s">
        <v>1024</v>
      </c>
      <c r="J401">
        <v>12.65</v>
      </c>
      <c r="K401" t="s">
        <v>22</v>
      </c>
      <c r="L401" t="s">
        <v>208</v>
      </c>
    </row>
    <row r="402" spans="1:12" x14ac:dyDescent="0.3">
      <c r="A402">
        <v>401</v>
      </c>
      <c r="B402">
        <v>1</v>
      </c>
      <c r="C402">
        <v>3</v>
      </c>
      <c r="D402" t="s">
        <v>1025</v>
      </c>
      <c r="E402" t="s">
        <v>206</v>
      </c>
      <c r="F402">
        <v>39</v>
      </c>
      <c r="G402">
        <v>0</v>
      </c>
      <c r="H402">
        <v>0</v>
      </c>
      <c r="I402" t="s">
        <v>1026</v>
      </c>
      <c r="J402">
        <v>7.9249999999999998</v>
      </c>
      <c r="K402" t="s">
        <v>22</v>
      </c>
      <c r="L402" t="s">
        <v>208</v>
      </c>
    </row>
    <row r="403" spans="1:12" x14ac:dyDescent="0.3">
      <c r="A403">
        <v>402</v>
      </c>
      <c r="B403">
        <v>0</v>
      </c>
      <c r="C403">
        <v>3</v>
      </c>
      <c r="D403" t="s">
        <v>1027</v>
      </c>
      <c r="E403" t="s">
        <v>206</v>
      </c>
      <c r="F403">
        <v>26</v>
      </c>
      <c r="G403">
        <v>0</v>
      </c>
      <c r="H403">
        <v>0</v>
      </c>
      <c r="I403" t="s">
        <v>1028</v>
      </c>
      <c r="J403">
        <v>8.0500000000000007</v>
      </c>
      <c r="K403" t="s">
        <v>22</v>
      </c>
      <c r="L403" t="s">
        <v>208</v>
      </c>
    </row>
    <row r="404" spans="1:12" x14ac:dyDescent="0.3">
      <c r="A404">
        <v>403</v>
      </c>
      <c r="B404">
        <v>0</v>
      </c>
      <c r="C404">
        <v>3</v>
      </c>
      <c r="D404" t="s">
        <v>1029</v>
      </c>
      <c r="E404" t="s">
        <v>210</v>
      </c>
      <c r="F404">
        <v>21</v>
      </c>
      <c r="G404">
        <v>1</v>
      </c>
      <c r="H404">
        <v>0</v>
      </c>
      <c r="I404" t="s">
        <v>1030</v>
      </c>
      <c r="J404">
        <v>9.8249999999999993</v>
      </c>
      <c r="K404" t="s">
        <v>22</v>
      </c>
      <c r="L404" t="s">
        <v>208</v>
      </c>
    </row>
    <row r="405" spans="1:12" x14ac:dyDescent="0.3">
      <c r="A405">
        <v>404</v>
      </c>
      <c r="B405">
        <v>0</v>
      </c>
      <c r="C405">
        <v>3</v>
      </c>
      <c r="D405" t="s">
        <v>1031</v>
      </c>
      <c r="E405" t="s">
        <v>206</v>
      </c>
      <c r="F405">
        <v>28</v>
      </c>
      <c r="G405">
        <v>1</v>
      </c>
      <c r="H405">
        <v>0</v>
      </c>
      <c r="I405" t="s">
        <v>511</v>
      </c>
      <c r="J405">
        <v>15.85</v>
      </c>
      <c r="K405" t="s">
        <v>22</v>
      </c>
      <c r="L405" t="s">
        <v>208</v>
      </c>
    </row>
    <row r="406" spans="1:12" x14ac:dyDescent="0.3">
      <c r="A406">
        <v>405</v>
      </c>
      <c r="B406">
        <v>0</v>
      </c>
      <c r="C406">
        <v>3</v>
      </c>
      <c r="D406" t="s">
        <v>1032</v>
      </c>
      <c r="E406" t="s">
        <v>210</v>
      </c>
      <c r="F406">
        <v>20</v>
      </c>
      <c r="G406">
        <v>0</v>
      </c>
      <c r="H406">
        <v>0</v>
      </c>
      <c r="I406" t="s">
        <v>1033</v>
      </c>
      <c r="J406">
        <v>8.6624999999999996</v>
      </c>
      <c r="K406" t="s">
        <v>22</v>
      </c>
      <c r="L406" t="s">
        <v>208</v>
      </c>
    </row>
    <row r="407" spans="1:12" x14ac:dyDescent="0.3">
      <c r="A407">
        <v>406</v>
      </c>
      <c r="B407">
        <v>0</v>
      </c>
      <c r="C407">
        <v>2</v>
      </c>
      <c r="D407" t="s">
        <v>1034</v>
      </c>
      <c r="E407" t="s">
        <v>206</v>
      </c>
      <c r="F407">
        <v>34</v>
      </c>
      <c r="G407">
        <v>1</v>
      </c>
      <c r="H407">
        <v>0</v>
      </c>
      <c r="I407" t="s">
        <v>1035</v>
      </c>
      <c r="J407">
        <v>21</v>
      </c>
      <c r="K407" t="s">
        <v>22</v>
      </c>
      <c r="L407" t="s">
        <v>208</v>
      </c>
    </row>
    <row r="408" spans="1:12" x14ac:dyDescent="0.3">
      <c r="A408">
        <v>407</v>
      </c>
      <c r="B408">
        <v>0</v>
      </c>
      <c r="C408">
        <v>3</v>
      </c>
      <c r="D408" t="s">
        <v>1036</v>
      </c>
      <c r="E408" t="s">
        <v>206</v>
      </c>
      <c r="F408">
        <v>51</v>
      </c>
      <c r="G408">
        <v>0</v>
      </c>
      <c r="H408">
        <v>0</v>
      </c>
      <c r="I408" t="s">
        <v>1037</v>
      </c>
      <c r="J408">
        <v>7.75</v>
      </c>
      <c r="K408" t="s">
        <v>22</v>
      </c>
      <c r="L408" t="s">
        <v>208</v>
      </c>
    </row>
    <row r="409" spans="1:12" x14ac:dyDescent="0.3">
      <c r="A409">
        <v>408</v>
      </c>
      <c r="B409">
        <v>1</v>
      </c>
      <c r="C409">
        <v>2</v>
      </c>
      <c r="D409" t="s">
        <v>1038</v>
      </c>
      <c r="E409" t="s">
        <v>206</v>
      </c>
      <c r="F409">
        <v>3</v>
      </c>
      <c r="G409">
        <v>1</v>
      </c>
      <c r="H409">
        <v>1</v>
      </c>
      <c r="I409" t="s">
        <v>1039</v>
      </c>
      <c r="J409">
        <v>18.75</v>
      </c>
      <c r="K409" t="s">
        <v>22</v>
      </c>
      <c r="L409" t="s">
        <v>208</v>
      </c>
    </row>
    <row r="410" spans="1:12" x14ac:dyDescent="0.3">
      <c r="A410">
        <v>409</v>
      </c>
      <c r="B410">
        <v>0</v>
      </c>
      <c r="C410">
        <v>3</v>
      </c>
      <c r="D410" t="s">
        <v>1040</v>
      </c>
      <c r="E410" t="s">
        <v>206</v>
      </c>
      <c r="F410">
        <v>21</v>
      </c>
      <c r="G410">
        <v>0</v>
      </c>
      <c r="H410">
        <v>0</v>
      </c>
      <c r="I410" t="s">
        <v>1041</v>
      </c>
      <c r="J410">
        <v>7.7750000000000004</v>
      </c>
      <c r="K410" t="s">
        <v>22</v>
      </c>
      <c r="L410" t="s">
        <v>208</v>
      </c>
    </row>
    <row r="411" spans="1:12" x14ac:dyDescent="0.3">
      <c r="A411">
        <v>410</v>
      </c>
      <c r="B411">
        <v>0</v>
      </c>
      <c r="C411">
        <v>3</v>
      </c>
      <c r="D411" t="s">
        <v>1042</v>
      </c>
      <c r="E411" t="s">
        <v>210</v>
      </c>
      <c r="G411">
        <v>3</v>
      </c>
      <c r="H411">
        <v>1</v>
      </c>
      <c r="I411" t="s">
        <v>578</v>
      </c>
      <c r="J411">
        <v>25.466699999999999</v>
      </c>
      <c r="K411" t="s">
        <v>22</v>
      </c>
      <c r="L411" t="s">
        <v>208</v>
      </c>
    </row>
    <row r="412" spans="1:12" x14ac:dyDescent="0.3">
      <c r="A412">
        <v>411</v>
      </c>
      <c r="B412">
        <v>0</v>
      </c>
      <c r="C412">
        <v>3</v>
      </c>
      <c r="D412" t="s">
        <v>1043</v>
      </c>
      <c r="E412" t="s">
        <v>206</v>
      </c>
      <c r="G412">
        <v>0</v>
      </c>
      <c r="H412">
        <v>0</v>
      </c>
      <c r="I412" t="s">
        <v>1044</v>
      </c>
      <c r="J412">
        <v>7.8958000000000004</v>
      </c>
      <c r="K412" t="s">
        <v>22</v>
      </c>
      <c r="L412" t="s">
        <v>208</v>
      </c>
    </row>
    <row r="413" spans="1:12" x14ac:dyDescent="0.3">
      <c r="A413">
        <v>412</v>
      </c>
      <c r="B413">
        <v>0</v>
      </c>
      <c r="C413">
        <v>3</v>
      </c>
      <c r="D413" t="s">
        <v>1045</v>
      </c>
      <c r="E413" t="s">
        <v>206</v>
      </c>
      <c r="G413">
        <v>0</v>
      </c>
      <c r="H413">
        <v>0</v>
      </c>
      <c r="I413" t="s">
        <v>1046</v>
      </c>
      <c r="J413">
        <v>6.8582999999999998</v>
      </c>
      <c r="K413" t="s">
        <v>22</v>
      </c>
      <c r="L413" t="s">
        <v>223</v>
      </c>
    </row>
    <row r="414" spans="1:12" x14ac:dyDescent="0.3">
      <c r="A414">
        <v>413</v>
      </c>
      <c r="B414">
        <v>1</v>
      </c>
      <c r="C414">
        <v>1</v>
      </c>
      <c r="D414" t="s">
        <v>1047</v>
      </c>
      <c r="E414" t="s">
        <v>210</v>
      </c>
      <c r="F414">
        <v>33</v>
      </c>
      <c r="G414">
        <v>1</v>
      </c>
      <c r="H414">
        <v>0</v>
      </c>
      <c r="I414" t="s">
        <v>715</v>
      </c>
      <c r="J414">
        <v>90</v>
      </c>
      <c r="K414" t="s">
        <v>716</v>
      </c>
      <c r="L414" t="s">
        <v>223</v>
      </c>
    </row>
    <row r="415" spans="1:12" x14ac:dyDescent="0.3">
      <c r="A415">
        <v>414</v>
      </c>
      <c r="B415">
        <v>0</v>
      </c>
      <c r="C415">
        <v>2</v>
      </c>
      <c r="D415" t="s">
        <v>1048</v>
      </c>
      <c r="E415" t="s">
        <v>206</v>
      </c>
      <c r="G415">
        <v>0</v>
      </c>
      <c r="H415">
        <v>0</v>
      </c>
      <c r="I415" t="s">
        <v>785</v>
      </c>
      <c r="J415">
        <v>0</v>
      </c>
      <c r="K415" t="s">
        <v>22</v>
      </c>
      <c r="L415" t="s">
        <v>208</v>
      </c>
    </row>
    <row r="416" spans="1:12" x14ac:dyDescent="0.3">
      <c r="A416">
        <v>415</v>
      </c>
      <c r="B416">
        <v>1</v>
      </c>
      <c r="C416">
        <v>3</v>
      </c>
      <c r="D416" t="s">
        <v>1049</v>
      </c>
      <c r="E416" t="s">
        <v>206</v>
      </c>
      <c r="F416">
        <v>44</v>
      </c>
      <c r="G416">
        <v>0</v>
      </c>
      <c r="H416">
        <v>0</v>
      </c>
      <c r="I416" t="s">
        <v>1050</v>
      </c>
      <c r="J416">
        <v>7.9249999999999998</v>
      </c>
      <c r="K416" t="s">
        <v>22</v>
      </c>
      <c r="L416" t="s">
        <v>208</v>
      </c>
    </row>
    <row r="417" spans="1:12" x14ac:dyDescent="0.3">
      <c r="A417">
        <v>416</v>
      </c>
      <c r="B417">
        <v>0</v>
      </c>
      <c r="C417">
        <v>3</v>
      </c>
      <c r="D417" t="s">
        <v>1051</v>
      </c>
      <c r="E417" t="s">
        <v>210</v>
      </c>
      <c r="G417">
        <v>0</v>
      </c>
      <c r="H417">
        <v>0</v>
      </c>
      <c r="I417" t="s">
        <v>1052</v>
      </c>
      <c r="J417">
        <v>8.0500000000000007</v>
      </c>
      <c r="K417" t="s">
        <v>22</v>
      </c>
      <c r="L417" t="s">
        <v>208</v>
      </c>
    </row>
    <row r="418" spans="1:12" x14ac:dyDescent="0.3">
      <c r="A418">
        <v>417</v>
      </c>
      <c r="B418">
        <v>1</v>
      </c>
      <c r="C418">
        <v>2</v>
      </c>
      <c r="D418" t="s">
        <v>1053</v>
      </c>
      <c r="E418" t="s">
        <v>210</v>
      </c>
      <c r="F418">
        <v>34</v>
      </c>
      <c r="G418">
        <v>1</v>
      </c>
      <c r="H418">
        <v>1</v>
      </c>
      <c r="I418" t="s">
        <v>1054</v>
      </c>
      <c r="J418">
        <v>32.5</v>
      </c>
      <c r="K418" t="s">
        <v>22</v>
      </c>
      <c r="L418" t="s">
        <v>208</v>
      </c>
    </row>
    <row r="419" spans="1:12" x14ac:dyDescent="0.3">
      <c r="A419">
        <v>418</v>
      </c>
      <c r="B419">
        <v>1</v>
      </c>
      <c r="C419">
        <v>2</v>
      </c>
      <c r="D419" t="s">
        <v>1055</v>
      </c>
      <c r="E419" t="s">
        <v>210</v>
      </c>
      <c r="F419">
        <v>18</v>
      </c>
      <c r="G419">
        <v>0</v>
      </c>
      <c r="H419">
        <v>2</v>
      </c>
      <c r="I419" t="s">
        <v>1056</v>
      </c>
      <c r="J419">
        <v>13</v>
      </c>
      <c r="K419" t="s">
        <v>22</v>
      </c>
      <c r="L419" t="s">
        <v>208</v>
      </c>
    </row>
    <row r="420" spans="1:12" x14ac:dyDescent="0.3">
      <c r="A420">
        <v>419</v>
      </c>
      <c r="B420">
        <v>0</v>
      </c>
      <c r="C420">
        <v>2</v>
      </c>
      <c r="D420" t="s">
        <v>1057</v>
      </c>
      <c r="E420" t="s">
        <v>206</v>
      </c>
      <c r="F420">
        <v>30</v>
      </c>
      <c r="G420">
        <v>0</v>
      </c>
      <c r="H420">
        <v>0</v>
      </c>
      <c r="I420" t="s">
        <v>1058</v>
      </c>
      <c r="J420">
        <v>13</v>
      </c>
      <c r="K420" t="s">
        <v>22</v>
      </c>
      <c r="L420" t="s">
        <v>208</v>
      </c>
    </row>
    <row r="421" spans="1:12" x14ac:dyDescent="0.3">
      <c r="A421">
        <v>420</v>
      </c>
      <c r="B421">
        <v>0</v>
      </c>
      <c r="C421">
        <v>3</v>
      </c>
      <c r="D421" t="s">
        <v>1059</v>
      </c>
      <c r="E421" t="s">
        <v>210</v>
      </c>
      <c r="F421">
        <v>10</v>
      </c>
      <c r="G421">
        <v>0</v>
      </c>
      <c r="H421">
        <v>2</v>
      </c>
      <c r="I421" t="s">
        <v>1060</v>
      </c>
      <c r="J421">
        <v>24.15</v>
      </c>
      <c r="K421" t="s">
        <v>22</v>
      </c>
      <c r="L421" t="s">
        <v>208</v>
      </c>
    </row>
    <row r="422" spans="1:12" x14ac:dyDescent="0.3">
      <c r="A422">
        <v>421</v>
      </c>
      <c r="B422">
        <v>0</v>
      </c>
      <c r="C422">
        <v>3</v>
      </c>
      <c r="D422" t="s">
        <v>1061</v>
      </c>
      <c r="E422" t="s">
        <v>206</v>
      </c>
      <c r="G422">
        <v>0</v>
      </c>
      <c r="H422">
        <v>0</v>
      </c>
      <c r="I422" t="s">
        <v>1062</v>
      </c>
      <c r="J422">
        <v>7.8958000000000004</v>
      </c>
      <c r="K422" t="s">
        <v>22</v>
      </c>
      <c r="L422" t="s">
        <v>213</v>
      </c>
    </row>
    <row r="423" spans="1:12" x14ac:dyDescent="0.3">
      <c r="A423">
        <v>422</v>
      </c>
      <c r="B423">
        <v>0</v>
      </c>
      <c r="C423">
        <v>3</v>
      </c>
      <c r="D423" t="s">
        <v>1063</v>
      </c>
      <c r="E423" t="s">
        <v>206</v>
      </c>
      <c r="F423">
        <v>21</v>
      </c>
      <c r="G423">
        <v>0</v>
      </c>
      <c r="H423">
        <v>0</v>
      </c>
      <c r="I423" t="s">
        <v>1064</v>
      </c>
      <c r="J423">
        <v>7.7332999999999998</v>
      </c>
      <c r="K423" t="s">
        <v>22</v>
      </c>
      <c r="L423" t="s">
        <v>223</v>
      </c>
    </row>
    <row r="424" spans="1:12" x14ac:dyDescent="0.3">
      <c r="A424">
        <v>423</v>
      </c>
      <c r="B424">
        <v>0</v>
      </c>
      <c r="C424">
        <v>3</v>
      </c>
      <c r="D424" t="s">
        <v>1065</v>
      </c>
      <c r="E424" t="s">
        <v>206</v>
      </c>
      <c r="F424">
        <v>29</v>
      </c>
      <c r="G424">
        <v>0</v>
      </c>
      <c r="H424">
        <v>0</v>
      </c>
      <c r="I424" t="s">
        <v>1066</v>
      </c>
      <c r="J424">
        <v>7.875</v>
      </c>
      <c r="K424" t="s">
        <v>22</v>
      </c>
      <c r="L424" t="s">
        <v>208</v>
      </c>
    </row>
    <row r="425" spans="1:12" x14ac:dyDescent="0.3">
      <c r="A425">
        <v>424</v>
      </c>
      <c r="B425">
        <v>0</v>
      </c>
      <c r="C425">
        <v>3</v>
      </c>
      <c r="D425" t="s">
        <v>1067</v>
      </c>
      <c r="E425" t="s">
        <v>210</v>
      </c>
      <c r="F425">
        <v>28</v>
      </c>
      <c r="G425">
        <v>1</v>
      </c>
      <c r="H425">
        <v>1</v>
      </c>
      <c r="I425" t="s">
        <v>1068</v>
      </c>
      <c r="J425">
        <v>14.4</v>
      </c>
      <c r="K425" t="s">
        <v>22</v>
      </c>
      <c r="L425" t="s">
        <v>208</v>
      </c>
    </row>
    <row r="426" spans="1:12" x14ac:dyDescent="0.3">
      <c r="A426">
        <v>425</v>
      </c>
      <c r="B426">
        <v>0</v>
      </c>
      <c r="C426">
        <v>3</v>
      </c>
      <c r="D426" t="s">
        <v>1069</v>
      </c>
      <c r="E426" t="s">
        <v>206</v>
      </c>
      <c r="F426">
        <v>18</v>
      </c>
      <c r="G426">
        <v>1</v>
      </c>
      <c r="H426">
        <v>1</v>
      </c>
      <c r="I426" t="s">
        <v>735</v>
      </c>
      <c r="J426">
        <v>20.212499999999999</v>
      </c>
      <c r="K426" t="s">
        <v>22</v>
      </c>
      <c r="L426" t="s">
        <v>208</v>
      </c>
    </row>
    <row r="427" spans="1:12" x14ac:dyDescent="0.3">
      <c r="A427">
        <v>426</v>
      </c>
      <c r="B427">
        <v>0</v>
      </c>
      <c r="C427">
        <v>3</v>
      </c>
      <c r="D427" t="s">
        <v>1070</v>
      </c>
      <c r="E427" t="s">
        <v>206</v>
      </c>
      <c r="G427">
        <v>0</v>
      </c>
      <c r="H427">
        <v>0</v>
      </c>
      <c r="I427" t="s">
        <v>1071</v>
      </c>
      <c r="J427">
        <v>7.25</v>
      </c>
      <c r="K427" t="s">
        <v>22</v>
      </c>
      <c r="L427" t="s">
        <v>208</v>
      </c>
    </row>
    <row r="428" spans="1:12" x14ac:dyDescent="0.3">
      <c r="A428">
        <v>427</v>
      </c>
      <c r="B428">
        <v>1</v>
      </c>
      <c r="C428">
        <v>2</v>
      </c>
      <c r="D428" t="s">
        <v>1072</v>
      </c>
      <c r="E428" t="s">
        <v>210</v>
      </c>
      <c r="F428">
        <v>28</v>
      </c>
      <c r="G428">
        <v>1</v>
      </c>
      <c r="H428">
        <v>0</v>
      </c>
      <c r="I428" t="s">
        <v>1073</v>
      </c>
      <c r="J428">
        <v>26</v>
      </c>
      <c r="K428" t="s">
        <v>22</v>
      </c>
      <c r="L428" t="s">
        <v>208</v>
      </c>
    </row>
    <row r="429" spans="1:12" x14ac:dyDescent="0.3">
      <c r="A429">
        <v>428</v>
      </c>
      <c r="B429">
        <v>1</v>
      </c>
      <c r="C429">
        <v>2</v>
      </c>
      <c r="D429" t="s">
        <v>1074</v>
      </c>
      <c r="E429" t="s">
        <v>210</v>
      </c>
      <c r="F429">
        <v>19</v>
      </c>
      <c r="G429">
        <v>0</v>
      </c>
      <c r="H429">
        <v>0</v>
      </c>
      <c r="I429" t="s">
        <v>1075</v>
      </c>
      <c r="J429">
        <v>26</v>
      </c>
      <c r="K429" t="s">
        <v>22</v>
      </c>
      <c r="L429" t="s">
        <v>208</v>
      </c>
    </row>
    <row r="430" spans="1:12" x14ac:dyDescent="0.3">
      <c r="A430">
        <v>429</v>
      </c>
      <c r="B430">
        <v>0</v>
      </c>
      <c r="C430">
        <v>3</v>
      </c>
      <c r="D430" t="s">
        <v>1076</v>
      </c>
      <c r="E430" t="s">
        <v>206</v>
      </c>
      <c r="G430">
        <v>0</v>
      </c>
      <c r="H430">
        <v>0</v>
      </c>
      <c r="I430" t="s">
        <v>1077</v>
      </c>
      <c r="J430">
        <v>7.75</v>
      </c>
      <c r="K430" t="s">
        <v>22</v>
      </c>
      <c r="L430" t="s">
        <v>223</v>
      </c>
    </row>
    <row r="431" spans="1:12" x14ac:dyDescent="0.3">
      <c r="A431">
        <v>430</v>
      </c>
      <c r="B431">
        <v>1</v>
      </c>
      <c r="C431">
        <v>3</v>
      </c>
      <c r="D431" t="s">
        <v>1078</v>
      </c>
      <c r="E431" t="s">
        <v>206</v>
      </c>
      <c r="F431">
        <v>32</v>
      </c>
      <c r="G431">
        <v>0</v>
      </c>
      <c r="H431">
        <v>0</v>
      </c>
      <c r="I431" t="s">
        <v>1079</v>
      </c>
      <c r="J431">
        <v>8.0500000000000007</v>
      </c>
      <c r="K431" t="s">
        <v>1080</v>
      </c>
      <c r="L431" t="s">
        <v>208</v>
      </c>
    </row>
    <row r="432" spans="1:12" x14ac:dyDescent="0.3">
      <c r="A432">
        <v>431</v>
      </c>
      <c r="B432">
        <v>1</v>
      </c>
      <c r="C432">
        <v>1</v>
      </c>
      <c r="D432" t="s">
        <v>1081</v>
      </c>
      <c r="E432" t="s">
        <v>206</v>
      </c>
      <c r="F432">
        <v>28</v>
      </c>
      <c r="G432">
        <v>0</v>
      </c>
      <c r="H432">
        <v>0</v>
      </c>
      <c r="I432" t="s">
        <v>1082</v>
      </c>
      <c r="J432">
        <v>26.55</v>
      </c>
      <c r="K432" t="s">
        <v>332</v>
      </c>
      <c r="L432" t="s">
        <v>208</v>
      </c>
    </row>
    <row r="433" spans="1:12" x14ac:dyDescent="0.3">
      <c r="A433">
        <v>432</v>
      </c>
      <c r="B433">
        <v>1</v>
      </c>
      <c r="C433">
        <v>3</v>
      </c>
      <c r="D433" t="s">
        <v>1083</v>
      </c>
      <c r="E433" t="s">
        <v>210</v>
      </c>
      <c r="G433">
        <v>1</v>
      </c>
      <c r="H433">
        <v>0</v>
      </c>
      <c r="I433" t="s">
        <v>1084</v>
      </c>
      <c r="J433">
        <v>16.100000000000001</v>
      </c>
      <c r="K433" t="s">
        <v>22</v>
      </c>
      <c r="L433" t="s">
        <v>208</v>
      </c>
    </row>
    <row r="434" spans="1:12" x14ac:dyDescent="0.3">
      <c r="A434">
        <v>433</v>
      </c>
      <c r="B434">
        <v>1</v>
      </c>
      <c r="C434">
        <v>2</v>
      </c>
      <c r="D434" t="s">
        <v>1085</v>
      </c>
      <c r="E434" t="s">
        <v>210</v>
      </c>
      <c r="F434">
        <v>42</v>
      </c>
      <c r="G434">
        <v>1</v>
      </c>
      <c r="H434">
        <v>0</v>
      </c>
      <c r="I434" t="s">
        <v>1086</v>
      </c>
      <c r="J434">
        <v>26</v>
      </c>
      <c r="K434" t="s">
        <v>22</v>
      </c>
      <c r="L434" t="s">
        <v>208</v>
      </c>
    </row>
    <row r="435" spans="1:12" x14ac:dyDescent="0.3">
      <c r="A435">
        <v>434</v>
      </c>
      <c r="B435">
        <v>0</v>
      </c>
      <c r="C435">
        <v>3</v>
      </c>
      <c r="D435" t="s">
        <v>1087</v>
      </c>
      <c r="E435" t="s">
        <v>206</v>
      </c>
      <c r="F435">
        <v>17</v>
      </c>
      <c r="G435">
        <v>0</v>
      </c>
      <c r="H435">
        <v>0</v>
      </c>
      <c r="I435" t="s">
        <v>1088</v>
      </c>
      <c r="J435">
        <v>7.125</v>
      </c>
      <c r="K435" t="s">
        <v>22</v>
      </c>
      <c r="L435" t="s">
        <v>208</v>
      </c>
    </row>
    <row r="436" spans="1:12" x14ac:dyDescent="0.3">
      <c r="A436">
        <v>435</v>
      </c>
      <c r="B436">
        <v>0</v>
      </c>
      <c r="C436">
        <v>1</v>
      </c>
      <c r="D436" t="s">
        <v>1089</v>
      </c>
      <c r="E436" t="s">
        <v>206</v>
      </c>
      <c r="F436">
        <v>50</v>
      </c>
      <c r="G436">
        <v>1</v>
      </c>
      <c r="H436">
        <v>0</v>
      </c>
      <c r="I436" t="s">
        <v>1090</v>
      </c>
      <c r="J436">
        <v>55.9</v>
      </c>
      <c r="K436" t="s">
        <v>1091</v>
      </c>
      <c r="L436" t="s">
        <v>208</v>
      </c>
    </row>
    <row r="437" spans="1:12" x14ac:dyDescent="0.3">
      <c r="A437">
        <v>436</v>
      </c>
      <c r="B437">
        <v>1</v>
      </c>
      <c r="C437">
        <v>1</v>
      </c>
      <c r="D437" t="s">
        <v>1092</v>
      </c>
      <c r="E437" t="s">
        <v>210</v>
      </c>
      <c r="F437">
        <v>14</v>
      </c>
      <c r="G437">
        <v>1</v>
      </c>
      <c r="H437">
        <v>2</v>
      </c>
      <c r="I437" t="s">
        <v>1007</v>
      </c>
      <c r="J437">
        <v>120</v>
      </c>
      <c r="K437" t="s">
        <v>1008</v>
      </c>
      <c r="L437" t="s">
        <v>208</v>
      </c>
    </row>
    <row r="438" spans="1:12" x14ac:dyDescent="0.3">
      <c r="A438">
        <v>437</v>
      </c>
      <c r="B438">
        <v>0</v>
      </c>
      <c r="C438">
        <v>3</v>
      </c>
      <c r="D438" t="s">
        <v>1093</v>
      </c>
      <c r="E438" t="s">
        <v>210</v>
      </c>
      <c r="F438">
        <v>21</v>
      </c>
      <c r="G438">
        <v>2</v>
      </c>
      <c r="H438">
        <v>2</v>
      </c>
      <c r="I438" t="s">
        <v>397</v>
      </c>
      <c r="J438">
        <v>34.375</v>
      </c>
      <c r="K438" t="s">
        <v>22</v>
      </c>
      <c r="L438" t="s">
        <v>208</v>
      </c>
    </row>
    <row r="439" spans="1:12" x14ac:dyDescent="0.3">
      <c r="A439">
        <v>438</v>
      </c>
      <c r="B439">
        <v>1</v>
      </c>
      <c r="C439">
        <v>2</v>
      </c>
      <c r="D439" t="s">
        <v>1094</v>
      </c>
      <c r="E439" t="s">
        <v>210</v>
      </c>
      <c r="F439">
        <v>24</v>
      </c>
      <c r="G439">
        <v>2</v>
      </c>
      <c r="H439">
        <v>3</v>
      </c>
      <c r="I439" t="s">
        <v>1039</v>
      </c>
      <c r="J439">
        <v>18.75</v>
      </c>
      <c r="K439" t="s">
        <v>22</v>
      </c>
      <c r="L439" t="s">
        <v>208</v>
      </c>
    </row>
    <row r="440" spans="1:12" x14ac:dyDescent="0.3">
      <c r="A440">
        <v>439</v>
      </c>
      <c r="B440">
        <v>0</v>
      </c>
      <c r="C440">
        <v>1</v>
      </c>
      <c r="D440" t="s">
        <v>1095</v>
      </c>
      <c r="E440" t="s">
        <v>206</v>
      </c>
      <c r="F440">
        <v>64</v>
      </c>
      <c r="G440">
        <v>1</v>
      </c>
      <c r="H440">
        <v>4</v>
      </c>
      <c r="I440" t="s">
        <v>271</v>
      </c>
      <c r="J440">
        <v>263</v>
      </c>
      <c r="K440" t="s">
        <v>272</v>
      </c>
      <c r="L440" t="s">
        <v>208</v>
      </c>
    </row>
    <row r="441" spans="1:12" x14ac:dyDescent="0.3">
      <c r="A441">
        <v>440</v>
      </c>
      <c r="B441">
        <v>0</v>
      </c>
      <c r="C441">
        <v>2</v>
      </c>
      <c r="D441" t="s">
        <v>1096</v>
      </c>
      <c r="E441" t="s">
        <v>206</v>
      </c>
      <c r="F441">
        <v>31</v>
      </c>
      <c r="G441">
        <v>0</v>
      </c>
      <c r="H441">
        <v>0</v>
      </c>
      <c r="I441" t="s">
        <v>1097</v>
      </c>
      <c r="J441">
        <v>10.5</v>
      </c>
      <c r="K441" t="s">
        <v>22</v>
      </c>
      <c r="L441" t="s">
        <v>208</v>
      </c>
    </row>
    <row r="442" spans="1:12" x14ac:dyDescent="0.3">
      <c r="A442">
        <v>441</v>
      </c>
      <c r="B442">
        <v>1</v>
      </c>
      <c r="C442">
        <v>2</v>
      </c>
      <c r="D442" t="s">
        <v>1098</v>
      </c>
      <c r="E442" t="s">
        <v>210</v>
      </c>
      <c r="F442">
        <v>45</v>
      </c>
      <c r="G442">
        <v>1</v>
      </c>
      <c r="H442">
        <v>1</v>
      </c>
      <c r="I442" t="s">
        <v>864</v>
      </c>
      <c r="J442">
        <v>26.25</v>
      </c>
      <c r="K442" t="s">
        <v>22</v>
      </c>
      <c r="L442" t="s">
        <v>208</v>
      </c>
    </row>
    <row r="443" spans="1:12" x14ac:dyDescent="0.3">
      <c r="A443">
        <v>442</v>
      </c>
      <c r="B443">
        <v>0</v>
      </c>
      <c r="C443">
        <v>3</v>
      </c>
      <c r="D443" t="s">
        <v>1099</v>
      </c>
      <c r="E443" t="s">
        <v>206</v>
      </c>
      <c r="F443">
        <v>20</v>
      </c>
      <c r="G443">
        <v>0</v>
      </c>
      <c r="H443">
        <v>0</v>
      </c>
      <c r="I443" t="s">
        <v>1100</v>
      </c>
      <c r="J443">
        <v>9.5</v>
      </c>
      <c r="K443" t="s">
        <v>22</v>
      </c>
      <c r="L443" t="s">
        <v>208</v>
      </c>
    </row>
    <row r="444" spans="1:12" x14ac:dyDescent="0.3">
      <c r="A444">
        <v>443</v>
      </c>
      <c r="B444">
        <v>0</v>
      </c>
      <c r="C444">
        <v>3</v>
      </c>
      <c r="D444" t="s">
        <v>1101</v>
      </c>
      <c r="E444" t="s">
        <v>206</v>
      </c>
      <c r="F444">
        <v>25</v>
      </c>
      <c r="G444">
        <v>1</v>
      </c>
      <c r="H444">
        <v>0</v>
      </c>
      <c r="I444" t="s">
        <v>1102</v>
      </c>
      <c r="J444">
        <v>7.7750000000000004</v>
      </c>
      <c r="K444" t="s">
        <v>22</v>
      </c>
      <c r="L444" t="s">
        <v>208</v>
      </c>
    </row>
    <row r="445" spans="1:12" x14ac:dyDescent="0.3">
      <c r="A445">
        <v>444</v>
      </c>
      <c r="B445">
        <v>1</v>
      </c>
      <c r="C445">
        <v>2</v>
      </c>
      <c r="D445" t="s">
        <v>1103</v>
      </c>
      <c r="E445" t="s">
        <v>210</v>
      </c>
      <c r="F445">
        <v>28</v>
      </c>
      <c r="G445">
        <v>0</v>
      </c>
      <c r="H445">
        <v>0</v>
      </c>
      <c r="I445" t="s">
        <v>1104</v>
      </c>
      <c r="J445">
        <v>13</v>
      </c>
      <c r="K445" t="s">
        <v>22</v>
      </c>
      <c r="L445" t="s">
        <v>208</v>
      </c>
    </row>
    <row r="446" spans="1:12" x14ac:dyDescent="0.3">
      <c r="A446">
        <v>445</v>
      </c>
      <c r="B446">
        <v>1</v>
      </c>
      <c r="C446">
        <v>3</v>
      </c>
      <c r="D446" t="s">
        <v>1105</v>
      </c>
      <c r="E446" t="s">
        <v>206</v>
      </c>
      <c r="G446">
        <v>0</v>
      </c>
      <c r="H446">
        <v>0</v>
      </c>
      <c r="I446" t="s">
        <v>1106</v>
      </c>
      <c r="J446">
        <v>8.1125000000000007</v>
      </c>
      <c r="K446" t="s">
        <v>22</v>
      </c>
      <c r="L446" t="s">
        <v>208</v>
      </c>
    </row>
    <row r="447" spans="1:12" x14ac:dyDescent="0.3">
      <c r="A447">
        <v>446</v>
      </c>
      <c r="B447">
        <v>1</v>
      </c>
      <c r="C447">
        <v>1</v>
      </c>
      <c r="D447" t="s">
        <v>1107</v>
      </c>
      <c r="E447" t="s">
        <v>206</v>
      </c>
      <c r="F447">
        <v>4</v>
      </c>
      <c r="G447">
        <v>0</v>
      </c>
      <c r="H447">
        <v>2</v>
      </c>
      <c r="I447" t="s">
        <v>1108</v>
      </c>
      <c r="J447">
        <v>81.8583</v>
      </c>
      <c r="K447" t="s">
        <v>1109</v>
      </c>
      <c r="L447" t="s">
        <v>208</v>
      </c>
    </row>
    <row r="448" spans="1:12" x14ac:dyDescent="0.3">
      <c r="A448">
        <v>447</v>
      </c>
      <c r="B448">
        <v>1</v>
      </c>
      <c r="C448">
        <v>2</v>
      </c>
      <c r="D448" t="s">
        <v>1110</v>
      </c>
      <c r="E448" t="s">
        <v>210</v>
      </c>
      <c r="F448">
        <v>13</v>
      </c>
      <c r="G448">
        <v>0</v>
      </c>
      <c r="H448">
        <v>1</v>
      </c>
      <c r="I448" t="s">
        <v>773</v>
      </c>
      <c r="J448">
        <v>19.5</v>
      </c>
      <c r="K448" t="s">
        <v>22</v>
      </c>
      <c r="L448" t="s">
        <v>208</v>
      </c>
    </row>
    <row r="449" spans="1:12" x14ac:dyDescent="0.3">
      <c r="A449">
        <v>448</v>
      </c>
      <c r="B449">
        <v>1</v>
      </c>
      <c r="C449">
        <v>1</v>
      </c>
      <c r="D449" t="s">
        <v>1111</v>
      </c>
      <c r="E449" t="s">
        <v>206</v>
      </c>
      <c r="F449">
        <v>34</v>
      </c>
      <c r="G449">
        <v>0</v>
      </c>
      <c r="H449">
        <v>0</v>
      </c>
      <c r="I449" t="s">
        <v>1112</v>
      </c>
      <c r="J449">
        <v>26.55</v>
      </c>
      <c r="K449" t="s">
        <v>22</v>
      </c>
      <c r="L449" t="s">
        <v>208</v>
      </c>
    </row>
    <row r="450" spans="1:12" x14ac:dyDescent="0.3">
      <c r="A450">
        <v>449</v>
      </c>
      <c r="B450">
        <v>1</v>
      </c>
      <c r="C450">
        <v>3</v>
      </c>
      <c r="D450" t="s">
        <v>1113</v>
      </c>
      <c r="E450" t="s">
        <v>210</v>
      </c>
      <c r="F450">
        <v>5</v>
      </c>
      <c r="G450">
        <v>2</v>
      </c>
      <c r="H450">
        <v>1</v>
      </c>
      <c r="I450" t="s">
        <v>1114</v>
      </c>
      <c r="J450">
        <v>19.258299999999998</v>
      </c>
      <c r="K450" t="s">
        <v>22</v>
      </c>
      <c r="L450" t="s">
        <v>213</v>
      </c>
    </row>
    <row r="451" spans="1:12" x14ac:dyDescent="0.3">
      <c r="A451">
        <v>450</v>
      </c>
      <c r="B451">
        <v>1</v>
      </c>
      <c r="C451">
        <v>1</v>
      </c>
      <c r="D451" t="s">
        <v>1115</v>
      </c>
      <c r="E451" t="s">
        <v>206</v>
      </c>
      <c r="F451">
        <v>52</v>
      </c>
      <c r="G451">
        <v>0</v>
      </c>
      <c r="H451">
        <v>0</v>
      </c>
      <c r="I451" t="s">
        <v>1116</v>
      </c>
      <c r="J451">
        <v>30.5</v>
      </c>
      <c r="K451" t="s">
        <v>1117</v>
      </c>
      <c r="L451" t="s">
        <v>208</v>
      </c>
    </row>
    <row r="452" spans="1:12" x14ac:dyDescent="0.3">
      <c r="A452">
        <v>451</v>
      </c>
      <c r="B452">
        <v>0</v>
      </c>
      <c r="C452">
        <v>2</v>
      </c>
      <c r="D452" t="s">
        <v>1118</v>
      </c>
      <c r="E452" t="s">
        <v>206</v>
      </c>
      <c r="F452">
        <v>36</v>
      </c>
      <c r="G452">
        <v>1</v>
      </c>
      <c r="H452">
        <v>2</v>
      </c>
      <c r="I452" t="s">
        <v>338</v>
      </c>
      <c r="J452">
        <v>27.75</v>
      </c>
      <c r="K452" t="s">
        <v>22</v>
      </c>
      <c r="L452" t="s">
        <v>208</v>
      </c>
    </row>
    <row r="453" spans="1:12" x14ac:dyDescent="0.3">
      <c r="A453">
        <v>452</v>
      </c>
      <c r="B453">
        <v>0</v>
      </c>
      <c r="C453">
        <v>3</v>
      </c>
      <c r="D453" t="s">
        <v>1119</v>
      </c>
      <c r="E453" t="s">
        <v>206</v>
      </c>
      <c r="G453">
        <v>1</v>
      </c>
      <c r="H453">
        <v>0</v>
      </c>
      <c r="I453" t="s">
        <v>1120</v>
      </c>
      <c r="J453">
        <v>19.966699999999999</v>
      </c>
      <c r="K453" t="s">
        <v>22</v>
      </c>
      <c r="L453" t="s">
        <v>208</v>
      </c>
    </row>
    <row r="454" spans="1:12" x14ac:dyDescent="0.3">
      <c r="A454">
        <v>453</v>
      </c>
      <c r="B454">
        <v>0</v>
      </c>
      <c r="C454">
        <v>1</v>
      </c>
      <c r="D454" t="s">
        <v>1121</v>
      </c>
      <c r="E454" t="s">
        <v>206</v>
      </c>
      <c r="F454">
        <v>30</v>
      </c>
      <c r="G454">
        <v>0</v>
      </c>
      <c r="H454">
        <v>0</v>
      </c>
      <c r="I454" t="s">
        <v>1122</v>
      </c>
      <c r="J454">
        <v>27.75</v>
      </c>
      <c r="K454" t="s">
        <v>1123</v>
      </c>
      <c r="L454" t="s">
        <v>213</v>
      </c>
    </row>
    <row r="455" spans="1:12" x14ac:dyDescent="0.3">
      <c r="A455">
        <v>454</v>
      </c>
      <c r="B455">
        <v>1</v>
      </c>
      <c r="C455">
        <v>1</v>
      </c>
      <c r="D455" t="s">
        <v>1124</v>
      </c>
      <c r="E455" t="s">
        <v>206</v>
      </c>
      <c r="F455">
        <v>49</v>
      </c>
      <c r="G455">
        <v>1</v>
      </c>
      <c r="H455">
        <v>0</v>
      </c>
      <c r="I455" t="s">
        <v>1125</v>
      </c>
      <c r="J455">
        <v>89.104200000000006</v>
      </c>
      <c r="K455" t="s">
        <v>1126</v>
      </c>
      <c r="L455" t="s">
        <v>213</v>
      </c>
    </row>
    <row r="456" spans="1:12" x14ac:dyDescent="0.3">
      <c r="A456">
        <v>455</v>
      </c>
      <c r="B456">
        <v>0</v>
      </c>
      <c r="C456">
        <v>3</v>
      </c>
      <c r="D456" t="s">
        <v>1127</v>
      </c>
      <c r="E456" t="s">
        <v>206</v>
      </c>
      <c r="G456">
        <v>0</v>
      </c>
      <c r="H456">
        <v>0</v>
      </c>
      <c r="I456" t="s">
        <v>1128</v>
      </c>
      <c r="J456">
        <v>8.0500000000000007</v>
      </c>
      <c r="K456" t="s">
        <v>22</v>
      </c>
      <c r="L456" t="s">
        <v>208</v>
      </c>
    </row>
    <row r="457" spans="1:12" x14ac:dyDescent="0.3">
      <c r="A457">
        <v>456</v>
      </c>
      <c r="B457">
        <v>1</v>
      </c>
      <c r="C457">
        <v>3</v>
      </c>
      <c r="D457" t="s">
        <v>1129</v>
      </c>
      <c r="E457" t="s">
        <v>206</v>
      </c>
      <c r="F457">
        <v>29</v>
      </c>
      <c r="G457">
        <v>0</v>
      </c>
      <c r="H457">
        <v>0</v>
      </c>
      <c r="I457" t="s">
        <v>1130</v>
      </c>
      <c r="J457">
        <v>7.8958000000000004</v>
      </c>
      <c r="K457" t="s">
        <v>22</v>
      </c>
      <c r="L457" t="s">
        <v>213</v>
      </c>
    </row>
    <row r="458" spans="1:12" x14ac:dyDescent="0.3">
      <c r="A458">
        <v>457</v>
      </c>
      <c r="B458">
        <v>0</v>
      </c>
      <c r="C458">
        <v>1</v>
      </c>
      <c r="D458" t="s">
        <v>1131</v>
      </c>
      <c r="E458" t="s">
        <v>206</v>
      </c>
      <c r="F458">
        <v>65</v>
      </c>
      <c r="G458">
        <v>0</v>
      </c>
      <c r="H458">
        <v>0</v>
      </c>
      <c r="I458" t="s">
        <v>1132</v>
      </c>
      <c r="J458">
        <v>26.55</v>
      </c>
      <c r="K458" t="s">
        <v>1133</v>
      </c>
      <c r="L458" t="s">
        <v>208</v>
      </c>
    </row>
    <row r="459" spans="1:12" x14ac:dyDescent="0.3">
      <c r="A459">
        <v>458</v>
      </c>
      <c r="B459">
        <v>1</v>
      </c>
      <c r="C459">
        <v>1</v>
      </c>
      <c r="D459" t="s">
        <v>1134</v>
      </c>
      <c r="E459" t="s">
        <v>210</v>
      </c>
      <c r="G459">
        <v>1</v>
      </c>
      <c r="H459">
        <v>0</v>
      </c>
      <c r="I459" t="s">
        <v>1135</v>
      </c>
      <c r="J459">
        <v>51.862499999999997</v>
      </c>
      <c r="K459" t="s">
        <v>1136</v>
      </c>
      <c r="L459" t="s">
        <v>208</v>
      </c>
    </row>
    <row r="460" spans="1:12" x14ac:dyDescent="0.3">
      <c r="A460">
        <v>459</v>
      </c>
      <c r="B460">
        <v>1</v>
      </c>
      <c r="C460">
        <v>2</v>
      </c>
      <c r="D460" t="s">
        <v>1137</v>
      </c>
      <c r="E460" t="s">
        <v>210</v>
      </c>
      <c r="F460">
        <v>50</v>
      </c>
      <c r="G460">
        <v>0</v>
      </c>
      <c r="H460">
        <v>0</v>
      </c>
      <c r="I460" t="s">
        <v>1138</v>
      </c>
      <c r="J460">
        <v>10.5</v>
      </c>
      <c r="K460" t="s">
        <v>22</v>
      </c>
      <c r="L460" t="s">
        <v>208</v>
      </c>
    </row>
    <row r="461" spans="1:12" x14ac:dyDescent="0.3">
      <c r="A461">
        <v>460</v>
      </c>
      <c r="B461">
        <v>0</v>
      </c>
      <c r="C461">
        <v>3</v>
      </c>
      <c r="D461" t="s">
        <v>1139</v>
      </c>
      <c r="E461" t="s">
        <v>206</v>
      </c>
      <c r="G461">
        <v>0</v>
      </c>
      <c r="H461">
        <v>0</v>
      </c>
      <c r="I461" t="s">
        <v>1140</v>
      </c>
      <c r="J461">
        <v>7.75</v>
      </c>
      <c r="K461" t="s">
        <v>22</v>
      </c>
      <c r="L461" t="s">
        <v>223</v>
      </c>
    </row>
    <row r="462" spans="1:12" x14ac:dyDescent="0.3">
      <c r="A462">
        <v>461</v>
      </c>
      <c r="B462">
        <v>1</v>
      </c>
      <c r="C462">
        <v>1</v>
      </c>
      <c r="D462" t="s">
        <v>1141</v>
      </c>
      <c r="E462" t="s">
        <v>206</v>
      </c>
      <c r="F462">
        <v>48</v>
      </c>
      <c r="G462">
        <v>0</v>
      </c>
      <c r="H462">
        <v>0</v>
      </c>
      <c r="I462" t="s">
        <v>1142</v>
      </c>
      <c r="J462">
        <v>26.55</v>
      </c>
      <c r="K462" t="s">
        <v>1143</v>
      </c>
      <c r="L462" t="s">
        <v>208</v>
      </c>
    </row>
    <row r="463" spans="1:12" x14ac:dyDescent="0.3">
      <c r="A463">
        <v>462</v>
      </c>
      <c r="B463">
        <v>0</v>
      </c>
      <c r="C463">
        <v>3</v>
      </c>
      <c r="D463" t="s">
        <v>1144</v>
      </c>
      <c r="E463" t="s">
        <v>206</v>
      </c>
      <c r="F463">
        <v>34</v>
      </c>
      <c r="G463">
        <v>0</v>
      </c>
      <c r="H463">
        <v>0</v>
      </c>
      <c r="I463" t="s">
        <v>1145</v>
      </c>
      <c r="J463">
        <v>8.0500000000000007</v>
      </c>
      <c r="K463" t="s">
        <v>22</v>
      </c>
      <c r="L463" t="s">
        <v>208</v>
      </c>
    </row>
    <row r="464" spans="1:12" x14ac:dyDescent="0.3">
      <c r="A464">
        <v>463</v>
      </c>
      <c r="B464">
        <v>0</v>
      </c>
      <c r="C464">
        <v>1</v>
      </c>
      <c r="D464" t="s">
        <v>1146</v>
      </c>
      <c r="E464" t="s">
        <v>206</v>
      </c>
      <c r="F464">
        <v>47</v>
      </c>
      <c r="G464">
        <v>0</v>
      </c>
      <c r="H464">
        <v>0</v>
      </c>
      <c r="I464" t="s">
        <v>1147</v>
      </c>
      <c r="J464">
        <v>38.5</v>
      </c>
      <c r="K464" t="s">
        <v>1148</v>
      </c>
      <c r="L464" t="s">
        <v>208</v>
      </c>
    </row>
    <row r="465" spans="1:12" x14ac:dyDescent="0.3">
      <c r="A465">
        <v>464</v>
      </c>
      <c r="B465">
        <v>0</v>
      </c>
      <c r="C465">
        <v>2</v>
      </c>
      <c r="D465" t="s">
        <v>1149</v>
      </c>
      <c r="E465" t="s">
        <v>206</v>
      </c>
      <c r="F465">
        <v>48</v>
      </c>
      <c r="G465">
        <v>0</v>
      </c>
      <c r="H465">
        <v>0</v>
      </c>
      <c r="I465" t="s">
        <v>1150</v>
      </c>
      <c r="J465">
        <v>13</v>
      </c>
      <c r="K465" t="s">
        <v>22</v>
      </c>
      <c r="L465" t="s">
        <v>208</v>
      </c>
    </row>
    <row r="466" spans="1:12" x14ac:dyDescent="0.3">
      <c r="A466">
        <v>465</v>
      </c>
      <c r="B466">
        <v>0</v>
      </c>
      <c r="C466">
        <v>3</v>
      </c>
      <c r="D466" t="s">
        <v>1151</v>
      </c>
      <c r="E466" t="s">
        <v>206</v>
      </c>
      <c r="G466">
        <v>0</v>
      </c>
      <c r="H466">
        <v>0</v>
      </c>
      <c r="I466" t="s">
        <v>1152</v>
      </c>
      <c r="J466">
        <v>8.0500000000000007</v>
      </c>
      <c r="K466" t="s">
        <v>22</v>
      </c>
      <c r="L466" t="s">
        <v>208</v>
      </c>
    </row>
    <row r="467" spans="1:12" x14ac:dyDescent="0.3">
      <c r="A467">
        <v>466</v>
      </c>
      <c r="B467">
        <v>0</v>
      </c>
      <c r="C467">
        <v>3</v>
      </c>
      <c r="D467" t="s">
        <v>1153</v>
      </c>
      <c r="E467" t="s">
        <v>206</v>
      </c>
      <c r="F467">
        <v>38</v>
      </c>
      <c r="G467">
        <v>0</v>
      </c>
      <c r="H467">
        <v>0</v>
      </c>
      <c r="I467" t="s">
        <v>1154</v>
      </c>
      <c r="J467">
        <v>7.05</v>
      </c>
      <c r="K467" t="s">
        <v>22</v>
      </c>
      <c r="L467" t="s">
        <v>208</v>
      </c>
    </row>
    <row r="468" spans="1:12" x14ac:dyDescent="0.3">
      <c r="A468">
        <v>467</v>
      </c>
      <c r="B468">
        <v>0</v>
      </c>
      <c r="C468">
        <v>2</v>
      </c>
      <c r="D468" t="s">
        <v>1155</v>
      </c>
      <c r="E468" t="s">
        <v>206</v>
      </c>
      <c r="G468">
        <v>0</v>
      </c>
      <c r="H468">
        <v>0</v>
      </c>
      <c r="I468" t="s">
        <v>785</v>
      </c>
      <c r="J468">
        <v>0</v>
      </c>
      <c r="K468" t="s">
        <v>22</v>
      </c>
      <c r="L468" t="s">
        <v>208</v>
      </c>
    </row>
    <row r="469" spans="1:12" x14ac:dyDescent="0.3">
      <c r="A469">
        <v>468</v>
      </c>
      <c r="B469">
        <v>0</v>
      </c>
      <c r="C469">
        <v>1</v>
      </c>
      <c r="D469" t="s">
        <v>1156</v>
      </c>
      <c r="E469" t="s">
        <v>206</v>
      </c>
      <c r="F469">
        <v>56</v>
      </c>
      <c r="G469">
        <v>0</v>
      </c>
      <c r="H469">
        <v>0</v>
      </c>
      <c r="I469" t="s">
        <v>1157</v>
      </c>
      <c r="J469">
        <v>26.55</v>
      </c>
      <c r="K469" t="s">
        <v>22</v>
      </c>
      <c r="L469" t="s">
        <v>208</v>
      </c>
    </row>
    <row r="470" spans="1:12" x14ac:dyDescent="0.3">
      <c r="A470">
        <v>469</v>
      </c>
      <c r="B470">
        <v>0</v>
      </c>
      <c r="C470">
        <v>3</v>
      </c>
      <c r="D470" t="s">
        <v>1158</v>
      </c>
      <c r="E470" t="s">
        <v>206</v>
      </c>
      <c r="G470">
        <v>0</v>
      </c>
      <c r="H470">
        <v>0</v>
      </c>
      <c r="I470" t="s">
        <v>1159</v>
      </c>
      <c r="J470">
        <v>7.7249999999999996</v>
      </c>
      <c r="K470" t="s">
        <v>22</v>
      </c>
      <c r="L470" t="s">
        <v>223</v>
      </c>
    </row>
    <row r="471" spans="1:12" x14ac:dyDescent="0.3">
      <c r="A471">
        <v>470</v>
      </c>
      <c r="B471">
        <v>1</v>
      </c>
      <c r="C471">
        <v>3</v>
      </c>
      <c r="D471" t="s">
        <v>1160</v>
      </c>
      <c r="E471" t="s">
        <v>210</v>
      </c>
      <c r="F471">
        <v>0.75</v>
      </c>
      <c r="G471">
        <v>2</v>
      </c>
      <c r="H471">
        <v>1</v>
      </c>
      <c r="I471" t="s">
        <v>1114</v>
      </c>
      <c r="J471">
        <v>19.258299999999998</v>
      </c>
      <c r="K471" t="s">
        <v>22</v>
      </c>
      <c r="L471" t="s">
        <v>213</v>
      </c>
    </row>
    <row r="472" spans="1:12" x14ac:dyDescent="0.3">
      <c r="A472">
        <v>471</v>
      </c>
      <c r="B472">
        <v>0</v>
      </c>
      <c r="C472">
        <v>3</v>
      </c>
      <c r="D472" t="s">
        <v>1161</v>
      </c>
      <c r="E472" t="s">
        <v>206</v>
      </c>
      <c r="G472">
        <v>0</v>
      </c>
      <c r="H472">
        <v>0</v>
      </c>
      <c r="I472" t="s">
        <v>1162</v>
      </c>
      <c r="J472">
        <v>7.25</v>
      </c>
      <c r="K472" t="s">
        <v>22</v>
      </c>
      <c r="L472" t="s">
        <v>208</v>
      </c>
    </row>
    <row r="473" spans="1:12" x14ac:dyDescent="0.3">
      <c r="A473">
        <v>472</v>
      </c>
      <c r="B473">
        <v>0</v>
      </c>
      <c r="C473">
        <v>3</v>
      </c>
      <c r="D473" t="s">
        <v>1163</v>
      </c>
      <c r="E473" t="s">
        <v>206</v>
      </c>
      <c r="F473">
        <v>38</v>
      </c>
      <c r="G473">
        <v>0</v>
      </c>
      <c r="H473">
        <v>0</v>
      </c>
      <c r="I473" t="s">
        <v>1164</v>
      </c>
      <c r="J473">
        <v>8.6624999999999996</v>
      </c>
      <c r="K473" t="s">
        <v>22</v>
      </c>
      <c r="L473" t="s">
        <v>208</v>
      </c>
    </row>
    <row r="474" spans="1:12" x14ac:dyDescent="0.3">
      <c r="A474">
        <v>473</v>
      </c>
      <c r="B474">
        <v>1</v>
      </c>
      <c r="C474">
        <v>2</v>
      </c>
      <c r="D474" t="s">
        <v>1165</v>
      </c>
      <c r="E474" t="s">
        <v>210</v>
      </c>
      <c r="F474">
        <v>33</v>
      </c>
      <c r="G474">
        <v>1</v>
      </c>
      <c r="H474">
        <v>2</v>
      </c>
      <c r="I474" t="s">
        <v>338</v>
      </c>
      <c r="J474">
        <v>27.75</v>
      </c>
      <c r="K474" t="s">
        <v>22</v>
      </c>
      <c r="L474" t="s">
        <v>208</v>
      </c>
    </row>
    <row r="475" spans="1:12" x14ac:dyDescent="0.3">
      <c r="A475">
        <v>474</v>
      </c>
      <c r="B475">
        <v>1</v>
      </c>
      <c r="C475">
        <v>2</v>
      </c>
      <c r="D475" t="s">
        <v>1166</v>
      </c>
      <c r="E475" t="s">
        <v>210</v>
      </c>
      <c r="F475">
        <v>23</v>
      </c>
      <c r="G475">
        <v>0</v>
      </c>
      <c r="H475">
        <v>0</v>
      </c>
      <c r="I475" t="s">
        <v>1167</v>
      </c>
      <c r="J475">
        <v>13.791700000000001</v>
      </c>
      <c r="K475" t="s">
        <v>817</v>
      </c>
      <c r="L475" t="s">
        <v>213</v>
      </c>
    </row>
    <row r="476" spans="1:12" x14ac:dyDescent="0.3">
      <c r="A476">
        <v>475</v>
      </c>
      <c r="B476">
        <v>0</v>
      </c>
      <c r="C476">
        <v>3</v>
      </c>
      <c r="D476" t="s">
        <v>1168</v>
      </c>
      <c r="E476" t="s">
        <v>210</v>
      </c>
      <c r="F476">
        <v>22</v>
      </c>
      <c r="G476">
        <v>0</v>
      </c>
      <c r="H476">
        <v>0</v>
      </c>
      <c r="I476" t="s">
        <v>1169</v>
      </c>
      <c r="J476">
        <v>9.8375000000000004</v>
      </c>
      <c r="K476" t="s">
        <v>22</v>
      </c>
      <c r="L476" t="s">
        <v>208</v>
      </c>
    </row>
    <row r="477" spans="1:12" x14ac:dyDescent="0.3">
      <c r="A477">
        <v>476</v>
      </c>
      <c r="B477">
        <v>0</v>
      </c>
      <c r="C477">
        <v>1</v>
      </c>
      <c r="D477" t="s">
        <v>1170</v>
      </c>
      <c r="E477" t="s">
        <v>206</v>
      </c>
      <c r="G477">
        <v>0</v>
      </c>
      <c r="H477">
        <v>0</v>
      </c>
      <c r="I477" t="s">
        <v>448</v>
      </c>
      <c r="J477">
        <v>52</v>
      </c>
      <c r="K477" t="s">
        <v>1171</v>
      </c>
      <c r="L477" t="s">
        <v>208</v>
      </c>
    </row>
    <row r="478" spans="1:12" x14ac:dyDescent="0.3">
      <c r="A478">
        <v>477</v>
      </c>
      <c r="B478">
        <v>0</v>
      </c>
      <c r="C478">
        <v>2</v>
      </c>
      <c r="D478" t="s">
        <v>1172</v>
      </c>
      <c r="E478" t="s">
        <v>206</v>
      </c>
      <c r="F478">
        <v>34</v>
      </c>
      <c r="G478">
        <v>1</v>
      </c>
      <c r="H478">
        <v>0</v>
      </c>
      <c r="I478" t="s">
        <v>1173</v>
      </c>
      <c r="J478">
        <v>21</v>
      </c>
      <c r="K478" t="s">
        <v>22</v>
      </c>
      <c r="L478" t="s">
        <v>208</v>
      </c>
    </row>
    <row r="479" spans="1:12" x14ac:dyDescent="0.3">
      <c r="A479">
        <v>478</v>
      </c>
      <c r="B479">
        <v>0</v>
      </c>
      <c r="C479">
        <v>3</v>
      </c>
      <c r="D479" t="s">
        <v>1174</v>
      </c>
      <c r="E479" t="s">
        <v>206</v>
      </c>
      <c r="F479">
        <v>29</v>
      </c>
      <c r="G479">
        <v>1</v>
      </c>
      <c r="H479">
        <v>0</v>
      </c>
      <c r="I479" t="s">
        <v>1175</v>
      </c>
      <c r="J479">
        <v>7.0457999999999998</v>
      </c>
      <c r="K479" t="s">
        <v>22</v>
      </c>
      <c r="L479" t="s">
        <v>208</v>
      </c>
    </row>
    <row r="480" spans="1:12" x14ac:dyDescent="0.3">
      <c r="A480">
        <v>479</v>
      </c>
      <c r="B480">
        <v>0</v>
      </c>
      <c r="C480">
        <v>3</v>
      </c>
      <c r="D480" t="s">
        <v>1176</v>
      </c>
      <c r="E480" t="s">
        <v>206</v>
      </c>
      <c r="F480">
        <v>22</v>
      </c>
      <c r="G480">
        <v>0</v>
      </c>
      <c r="H480">
        <v>0</v>
      </c>
      <c r="I480" t="s">
        <v>1177</v>
      </c>
      <c r="J480">
        <v>7.5208000000000004</v>
      </c>
      <c r="K480" t="s">
        <v>22</v>
      </c>
      <c r="L480" t="s">
        <v>208</v>
      </c>
    </row>
    <row r="481" spans="1:12" x14ac:dyDescent="0.3">
      <c r="A481">
        <v>480</v>
      </c>
      <c r="B481">
        <v>1</v>
      </c>
      <c r="C481">
        <v>3</v>
      </c>
      <c r="D481" t="s">
        <v>1178</v>
      </c>
      <c r="E481" t="s">
        <v>210</v>
      </c>
      <c r="F481">
        <v>2</v>
      </c>
      <c r="G481">
        <v>0</v>
      </c>
      <c r="H481">
        <v>1</v>
      </c>
      <c r="I481" t="s">
        <v>1179</v>
      </c>
      <c r="J481">
        <v>12.2875</v>
      </c>
      <c r="K481" t="s">
        <v>22</v>
      </c>
      <c r="L481" t="s">
        <v>208</v>
      </c>
    </row>
    <row r="482" spans="1:12" x14ac:dyDescent="0.3">
      <c r="A482">
        <v>481</v>
      </c>
      <c r="B482">
        <v>0</v>
      </c>
      <c r="C482">
        <v>3</v>
      </c>
      <c r="D482" t="s">
        <v>1180</v>
      </c>
      <c r="E482" t="s">
        <v>206</v>
      </c>
      <c r="F482">
        <v>9</v>
      </c>
      <c r="G482">
        <v>5</v>
      </c>
      <c r="H482">
        <v>2</v>
      </c>
      <c r="I482" t="s">
        <v>340</v>
      </c>
      <c r="J482">
        <v>46.9</v>
      </c>
      <c r="K482" t="s">
        <v>22</v>
      </c>
      <c r="L482" t="s">
        <v>208</v>
      </c>
    </row>
    <row r="483" spans="1:12" x14ac:dyDescent="0.3">
      <c r="A483">
        <v>482</v>
      </c>
      <c r="B483">
        <v>0</v>
      </c>
      <c r="C483">
        <v>2</v>
      </c>
      <c r="D483" t="s">
        <v>1181</v>
      </c>
      <c r="E483" t="s">
        <v>206</v>
      </c>
      <c r="G483">
        <v>0</v>
      </c>
      <c r="H483">
        <v>0</v>
      </c>
      <c r="I483" t="s">
        <v>1182</v>
      </c>
      <c r="J483">
        <v>0</v>
      </c>
      <c r="K483" t="s">
        <v>22</v>
      </c>
      <c r="L483" t="s">
        <v>208</v>
      </c>
    </row>
    <row r="484" spans="1:12" x14ac:dyDescent="0.3">
      <c r="A484">
        <v>483</v>
      </c>
      <c r="B484">
        <v>0</v>
      </c>
      <c r="C484">
        <v>3</v>
      </c>
      <c r="D484" t="s">
        <v>1183</v>
      </c>
      <c r="E484" t="s">
        <v>206</v>
      </c>
      <c r="F484">
        <v>50</v>
      </c>
      <c r="G484">
        <v>0</v>
      </c>
      <c r="H484">
        <v>0</v>
      </c>
      <c r="I484" t="s">
        <v>1184</v>
      </c>
      <c r="J484">
        <v>8.0500000000000007</v>
      </c>
      <c r="K484" t="s">
        <v>22</v>
      </c>
      <c r="L484" t="s">
        <v>208</v>
      </c>
    </row>
    <row r="485" spans="1:12" x14ac:dyDescent="0.3">
      <c r="A485">
        <v>484</v>
      </c>
      <c r="B485">
        <v>1</v>
      </c>
      <c r="C485">
        <v>3</v>
      </c>
      <c r="D485" t="s">
        <v>1185</v>
      </c>
      <c r="E485" t="s">
        <v>210</v>
      </c>
      <c r="F485">
        <v>63</v>
      </c>
      <c r="G485">
        <v>0</v>
      </c>
      <c r="H485">
        <v>0</v>
      </c>
      <c r="I485" t="s">
        <v>1186</v>
      </c>
      <c r="J485">
        <v>9.5875000000000004</v>
      </c>
      <c r="K485" t="s">
        <v>22</v>
      </c>
      <c r="L485" t="s">
        <v>208</v>
      </c>
    </row>
    <row r="486" spans="1:12" x14ac:dyDescent="0.3">
      <c r="A486">
        <v>485</v>
      </c>
      <c r="B486">
        <v>1</v>
      </c>
      <c r="C486">
        <v>1</v>
      </c>
      <c r="D486" t="s">
        <v>1187</v>
      </c>
      <c r="E486" t="s">
        <v>206</v>
      </c>
      <c r="F486">
        <v>25</v>
      </c>
      <c r="G486">
        <v>1</v>
      </c>
      <c r="H486">
        <v>0</v>
      </c>
      <c r="I486" t="s">
        <v>813</v>
      </c>
      <c r="J486">
        <v>91.0792</v>
      </c>
      <c r="K486" t="s">
        <v>814</v>
      </c>
      <c r="L486" t="s">
        <v>213</v>
      </c>
    </row>
    <row r="487" spans="1:12" x14ac:dyDescent="0.3">
      <c r="A487">
        <v>486</v>
      </c>
      <c r="B487">
        <v>0</v>
      </c>
      <c r="C487">
        <v>3</v>
      </c>
      <c r="D487" t="s">
        <v>1188</v>
      </c>
      <c r="E487" t="s">
        <v>210</v>
      </c>
      <c r="G487">
        <v>3</v>
      </c>
      <c r="H487">
        <v>1</v>
      </c>
      <c r="I487" t="s">
        <v>578</v>
      </c>
      <c r="J487">
        <v>25.466699999999999</v>
      </c>
      <c r="K487" t="s">
        <v>22</v>
      </c>
      <c r="L487" t="s">
        <v>208</v>
      </c>
    </row>
    <row r="488" spans="1:12" x14ac:dyDescent="0.3">
      <c r="A488">
        <v>487</v>
      </c>
      <c r="B488">
        <v>1</v>
      </c>
      <c r="C488">
        <v>1</v>
      </c>
      <c r="D488" t="s">
        <v>1189</v>
      </c>
      <c r="E488" t="s">
        <v>210</v>
      </c>
      <c r="F488">
        <v>35</v>
      </c>
      <c r="G488">
        <v>1</v>
      </c>
      <c r="H488">
        <v>0</v>
      </c>
      <c r="I488" t="s">
        <v>676</v>
      </c>
      <c r="J488">
        <v>90</v>
      </c>
      <c r="K488" t="s">
        <v>677</v>
      </c>
      <c r="L488" t="s">
        <v>208</v>
      </c>
    </row>
    <row r="489" spans="1:12" x14ac:dyDescent="0.3">
      <c r="A489">
        <v>488</v>
      </c>
      <c r="B489">
        <v>0</v>
      </c>
      <c r="C489">
        <v>1</v>
      </c>
      <c r="D489" t="s">
        <v>1190</v>
      </c>
      <c r="E489" t="s">
        <v>206</v>
      </c>
      <c r="F489">
        <v>58</v>
      </c>
      <c r="G489">
        <v>0</v>
      </c>
      <c r="H489">
        <v>0</v>
      </c>
      <c r="I489" t="s">
        <v>1191</v>
      </c>
      <c r="J489">
        <v>29.7</v>
      </c>
      <c r="K489" t="s">
        <v>1192</v>
      </c>
      <c r="L489" t="s">
        <v>213</v>
      </c>
    </row>
    <row r="490" spans="1:12" x14ac:dyDescent="0.3">
      <c r="A490">
        <v>489</v>
      </c>
      <c r="B490">
        <v>0</v>
      </c>
      <c r="C490">
        <v>3</v>
      </c>
      <c r="D490" t="s">
        <v>1193</v>
      </c>
      <c r="E490" t="s">
        <v>206</v>
      </c>
      <c r="F490">
        <v>30</v>
      </c>
      <c r="G490">
        <v>0</v>
      </c>
      <c r="H490">
        <v>0</v>
      </c>
      <c r="I490" t="s">
        <v>1194</v>
      </c>
      <c r="J490">
        <v>8.0500000000000007</v>
      </c>
      <c r="K490" t="s">
        <v>22</v>
      </c>
      <c r="L490" t="s">
        <v>208</v>
      </c>
    </row>
    <row r="491" spans="1:12" x14ac:dyDescent="0.3">
      <c r="A491">
        <v>490</v>
      </c>
      <c r="B491">
        <v>1</v>
      </c>
      <c r="C491">
        <v>3</v>
      </c>
      <c r="D491" t="s">
        <v>1195</v>
      </c>
      <c r="E491" t="s">
        <v>206</v>
      </c>
      <c r="F491">
        <v>9</v>
      </c>
      <c r="G491">
        <v>1</v>
      </c>
      <c r="H491">
        <v>1</v>
      </c>
      <c r="I491" t="s">
        <v>928</v>
      </c>
      <c r="J491">
        <v>15.9</v>
      </c>
      <c r="K491" t="s">
        <v>22</v>
      </c>
      <c r="L491" t="s">
        <v>208</v>
      </c>
    </row>
    <row r="492" spans="1:12" x14ac:dyDescent="0.3">
      <c r="A492">
        <v>491</v>
      </c>
      <c r="B492">
        <v>0</v>
      </c>
      <c r="C492">
        <v>3</v>
      </c>
      <c r="D492" t="s">
        <v>1196</v>
      </c>
      <c r="E492" t="s">
        <v>206</v>
      </c>
      <c r="G492">
        <v>1</v>
      </c>
      <c r="H492">
        <v>0</v>
      </c>
      <c r="I492" t="s">
        <v>1197</v>
      </c>
      <c r="J492">
        <v>19.966699999999999</v>
      </c>
      <c r="K492" t="s">
        <v>22</v>
      </c>
      <c r="L492" t="s">
        <v>208</v>
      </c>
    </row>
    <row r="493" spans="1:12" x14ac:dyDescent="0.3">
      <c r="A493">
        <v>492</v>
      </c>
      <c r="B493">
        <v>0</v>
      </c>
      <c r="C493">
        <v>3</v>
      </c>
      <c r="D493" t="s">
        <v>1198</v>
      </c>
      <c r="E493" t="s">
        <v>206</v>
      </c>
      <c r="F493">
        <v>21</v>
      </c>
      <c r="G493">
        <v>0</v>
      </c>
      <c r="H493">
        <v>0</v>
      </c>
      <c r="I493" t="s">
        <v>1199</v>
      </c>
      <c r="J493">
        <v>7.25</v>
      </c>
      <c r="K493" t="s">
        <v>22</v>
      </c>
      <c r="L493" t="s">
        <v>208</v>
      </c>
    </row>
    <row r="494" spans="1:12" x14ac:dyDescent="0.3">
      <c r="A494">
        <v>493</v>
      </c>
      <c r="B494">
        <v>0</v>
      </c>
      <c r="C494">
        <v>1</v>
      </c>
      <c r="D494" t="s">
        <v>1200</v>
      </c>
      <c r="E494" t="s">
        <v>206</v>
      </c>
      <c r="F494">
        <v>55</v>
      </c>
      <c r="G494">
        <v>0</v>
      </c>
      <c r="H494">
        <v>0</v>
      </c>
      <c r="I494" t="s">
        <v>1201</v>
      </c>
      <c r="J494">
        <v>30.5</v>
      </c>
      <c r="K494" t="s">
        <v>1202</v>
      </c>
      <c r="L494" t="s">
        <v>208</v>
      </c>
    </row>
    <row r="495" spans="1:12" x14ac:dyDescent="0.3">
      <c r="A495">
        <v>494</v>
      </c>
      <c r="B495">
        <v>0</v>
      </c>
      <c r="C495">
        <v>1</v>
      </c>
      <c r="D495" t="s">
        <v>1203</v>
      </c>
      <c r="E495" t="s">
        <v>206</v>
      </c>
      <c r="F495">
        <v>71</v>
      </c>
      <c r="G495">
        <v>0</v>
      </c>
      <c r="H495">
        <v>0</v>
      </c>
      <c r="I495" t="s">
        <v>1204</v>
      </c>
      <c r="J495">
        <v>49.504199999999997</v>
      </c>
      <c r="K495" t="s">
        <v>22</v>
      </c>
      <c r="L495" t="s">
        <v>213</v>
      </c>
    </row>
    <row r="496" spans="1:12" x14ac:dyDescent="0.3">
      <c r="A496">
        <v>495</v>
      </c>
      <c r="B496">
        <v>0</v>
      </c>
      <c r="C496">
        <v>3</v>
      </c>
      <c r="D496" t="s">
        <v>1205</v>
      </c>
      <c r="E496" t="s">
        <v>206</v>
      </c>
      <c r="F496">
        <v>21</v>
      </c>
      <c r="G496">
        <v>0</v>
      </c>
      <c r="H496">
        <v>0</v>
      </c>
      <c r="I496" t="s">
        <v>1206</v>
      </c>
      <c r="J496">
        <v>8.0500000000000007</v>
      </c>
      <c r="K496" t="s">
        <v>22</v>
      </c>
      <c r="L496" t="s">
        <v>208</v>
      </c>
    </row>
    <row r="497" spans="1:12" x14ac:dyDescent="0.3">
      <c r="A497">
        <v>496</v>
      </c>
      <c r="B497">
        <v>0</v>
      </c>
      <c r="C497">
        <v>3</v>
      </c>
      <c r="D497" t="s">
        <v>1207</v>
      </c>
      <c r="E497" t="s">
        <v>206</v>
      </c>
      <c r="G497">
        <v>0</v>
      </c>
      <c r="H497">
        <v>0</v>
      </c>
      <c r="I497" t="s">
        <v>457</v>
      </c>
      <c r="J497">
        <v>14.458299999999999</v>
      </c>
      <c r="K497" t="s">
        <v>22</v>
      </c>
      <c r="L497" t="s">
        <v>213</v>
      </c>
    </row>
    <row r="498" spans="1:12" x14ac:dyDescent="0.3">
      <c r="A498">
        <v>497</v>
      </c>
      <c r="B498">
        <v>1</v>
      </c>
      <c r="C498">
        <v>1</v>
      </c>
      <c r="D498" t="s">
        <v>1208</v>
      </c>
      <c r="E498" t="s">
        <v>210</v>
      </c>
      <c r="F498">
        <v>54</v>
      </c>
      <c r="G498">
        <v>1</v>
      </c>
      <c r="H498">
        <v>0</v>
      </c>
      <c r="I498" t="s">
        <v>1209</v>
      </c>
      <c r="J498">
        <v>78.2667</v>
      </c>
      <c r="K498" t="s">
        <v>1210</v>
      </c>
      <c r="L498" t="s">
        <v>213</v>
      </c>
    </row>
    <row r="499" spans="1:12" x14ac:dyDescent="0.3">
      <c r="A499">
        <v>498</v>
      </c>
      <c r="B499">
        <v>0</v>
      </c>
      <c r="C499">
        <v>3</v>
      </c>
      <c r="D499" t="s">
        <v>1211</v>
      </c>
      <c r="E499" t="s">
        <v>206</v>
      </c>
      <c r="G499">
        <v>0</v>
      </c>
      <c r="H499">
        <v>0</v>
      </c>
      <c r="I499" t="s">
        <v>1212</v>
      </c>
      <c r="J499">
        <v>15.1</v>
      </c>
      <c r="K499" t="s">
        <v>22</v>
      </c>
      <c r="L499" t="s">
        <v>208</v>
      </c>
    </row>
    <row r="500" spans="1:12" x14ac:dyDescent="0.3">
      <c r="A500">
        <v>499</v>
      </c>
      <c r="B500">
        <v>0</v>
      </c>
      <c r="C500">
        <v>1</v>
      </c>
      <c r="D500" t="s">
        <v>1213</v>
      </c>
      <c r="E500" t="s">
        <v>210</v>
      </c>
      <c r="F500">
        <v>25</v>
      </c>
      <c r="G500">
        <v>1</v>
      </c>
      <c r="H500">
        <v>2</v>
      </c>
      <c r="I500" t="s">
        <v>827</v>
      </c>
      <c r="J500">
        <v>151.55000000000001</v>
      </c>
      <c r="K500" t="s">
        <v>828</v>
      </c>
      <c r="L500" t="s">
        <v>208</v>
      </c>
    </row>
    <row r="501" spans="1:12" x14ac:dyDescent="0.3">
      <c r="A501">
        <v>500</v>
      </c>
      <c r="B501">
        <v>0</v>
      </c>
      <c r="C501">
        <v>3</v>
      </c>
      <c r="D501" t="s">
        <v>1214</v>
      </c>
      <c r="E501" t="s">
        <v>206</v>
      </c>
      <c r="F501">
        <v>24</v>
      </c>
      <c r="G501">
        <v>0</v>
      </c>
      <c r="H501">
        <v>0</v>
      </c>
      <c r="I501" t="s">
        <v>1215</v>
      </c>
      <c r="J501">
        <v>7.7957999999999998</v>
      </c>
      <c r="K501" t="s">
        <v>22</v>
      </c>
      <c r="L501" t="s">
        <v>208</v>
      </c>
    </row>
    <row r="502" spans="1:12" x14ac:dyDescent="0.3">
      <c r="A502">
        <v>501</v>
      </c>
      <c r="B502">
        <v>0</v>
      </c>
      <c r="C502">
        <v>3</v>
      </c>
      <c r="D502" t="s">
        <v>1216</v>
      </c>
      <c r="E502" t="s">
        <v>206</v>
      </c>
      <c r="F502">
        <v>17</v>
      </c>
      <c r="G502">
        <v>0</v>
      </c>
      <c r="H502">
        <v>0</v>
      </c>
      <c r="I502" t="s">
        <v>1217</v>
      </c>
      <c r="J502">
        <v>8.6624999999999996</v>
      </c>
      <c r="K502" t="s">
        <v>22</v>
      </c>
      <c r="L502" t="s">
        <v>208</v>
      </c>
    </row>
    <row r="503" spans="1:12" x14ac:dyDescent="0.3">
      <c r="A503">
        <v>502</v>
      </c>
      <c r="B503">
        <v>0</v>
      </c>
      <c r="C503">
        <v>3</v>
      </c>
      <c r="D503" t="s">
        <v>1218</v>
      </c>
      <c r="E503" t="s">
        <v>210</v>
      </c>
      <c r="F503">
        <v>21</v>
      </c>
      <c r="G503">
        <v>0</v>
      </c>
      <c r="H503">
        <v>0</v>
      </c>
      <c r="I503" t="s">
        <v>1219</v>
      </c>
      <c r="J503">
        <v>7.75</v>
      </c>
      <c r="K503" t="s">
        <v>22</v>
      </c>
      <c r="L503" t="s">
        <v>223</v>
      </c>
    </row>
    <row r="504" spans="1:12" x14ac:dyDescent="0.3">
      <c r="A504">
        <v>503</v>
      </c>
      <c r="B504">
        <v>0</v>
      </c>
      <c r="C504">
        <v>3</v>
      </c>
      <c r="D504" t="s">
        <v>1220</v>
      </c>
      <c r="E504" t="s">
        <v>210</v>
      </c>
      <c r="G504">
        <v>0</v>
      </c>
      <c r="H504">
        <v>0</v>
      </c>
      <c r="I504" t="s">
        <v>1221</v>
      </c>
      <c r="J504">
        <v>7.6292</v>
      </c>
      <c r="K504" t="s">
        <v>22</v>
      </c>
      <c r="L504" t="s">
        <v>223</v>
      </c>
    </row>
    <row r="505" spans="1:12" x14ac:dyDescent="0.3">
      <c r="A505">
        <v>504</v>
      </c>
      <c r="B505">
        <v>0</v>
      </c>
      <c r="C505">
        <v>3</v>
      </c>
      <c r="D505" t="s">
        <v>1222</v>
      </c>
      <c r="E505" t="s">
        <v>210</v>
      </c>
      <c r="F505">
        <v>37</v>
      </c>
      <c r="G505">
        <v>0</v>
      </c>
      <c r="H505">
        <v>0</v>
      </c>
      <c r="I505" t="s">
        <v>1223</v>
      </c>
      <c r="J505">
        <v>9.5875000000000004</v>
      </c>
      <c r="K505" t="s">
        <v>22</v>
      </c>
      <c r="L505" t="s">
        <v>208</v>
      </c>
    </row>
    <row r="506" spans="1:12" x14ac:dyDescent="0.3">
      <c r="A506">
        <v>505</v>
      </c>
      <c r="B506">
        <v>1</v>
      </c>
      <c r="C506">
        <v>1</v>
      </c>
      <c r="D506" t="s">
        <v>1224</v>
      </c>
      <c r="E506" t="s">
        <v>210</v>
      </c>
      <c r="F506">
        <v>16</v>
      </c>
      <c r="G506">
        <v>0</v>
      </c>
      <c r="H506">
        <v>0</v>
      </c>
      <c r="I506" t="s">
        <v>741</v>
      </c>
      <c r="J506">
        <v>86.5</v>
      </c>
      <c r="K506" t="s">
        <v>1225</v>
      </c>
      <c r="L506" t="s">
        <v>208</v>
      </c>
    </row>
    <row r="507" spans="1:12" x14ac:dyDescent="0.3">
      <c r="A507">
        <v>506</v>
      </c>
      <c r="B507">
        <v>0</v>
      </c>
      <c r="C507">
        <v>1</v>
      </c>
      <c r="D507" t="s">
        <v>1226</v>
      </c>
      <c r="E507" t="s">
        <v>206</v>
      </c>
      <c r="F507">
        <v>18</v>
      </c>
      <c r="G507">
        <v>1</v>
      </c>
      <c r="H507">
        <v>0</v>
      </c>
      <c r="I507" t="s">
        <v>846</v>
      </c>
      <c r="J507">
        <v>108.9</v>
      </c>
      <c r="K507" t="s">
        <v>847</v>
      </c>
      <c r="L507" t="s">
        <v>213</v>
      </c>
    </row>
    <row r="508" spans="1:12" x14ac:dyDescent="0.3">
      <c r="A508">
        <v>507</v>
      </c>
      <c r="B508">
        <v>1</v>
      </c>
      <c r="C508">
        <v>2</v>
      </c>
      <c r="D508" t="s">
        <v>1227</v>
      </c>
      <c r="E508" t="s">
        <v>210</v>
      </c>
      <c r="F508">
        <v>33</v>
      </c>
      <c r="G508">
        <v>0</v>
      </c>
      <c r="H508">
        <v>2</v>
      </c>
      <c r="I508" t="s">
        <v>1228</v>
      </c>
      <c r="J508">
        <v>26</v>
      </c>
      <c r="K508" t="s">
        <v>22</v>
      </c>
      <c r="L508" t="s">
        <v>208</v>
      </c>
    </row>
    <row r="509" spans="1:12" x14ac:dyDescent="0.3">
      <c r="A509">
        <v>508</v>
      </c>
      <c r="B509">
        <v>1</v>
      </c>
      <c r="C509">
        <v>1</v>
      </c>
      <c r="D509" t="s">
        <v>1229</v>
      </c>
      <c r="E509" t="s">
        <v>206</v>
      </c>
      <c r="G509">
        <v>0</v>
      </c>
      <c r="H509">
        <v>0</v>
      </c>
      <c r="I509" t="s">
        <v>1230</v>
      </c>
      <c r="J509">
        <v>26.55</v>
      </c>
      <c r="K509" t="s">
        <v>22</v>
      </c>
      <c r="L509" t="s">
        <v>208</v>
      </c>
    </row>
    <row r="510" spans="1:12" x14ac:dyDescent="0.3">
      <c r="A510">
        <v>509</v>
      </c>
      <c r="B510">
        <v>0</v>
      </c>
      <c r="C510">
        <v>3</v>
      </c>
      <c r="D510" t="s">
        <v>1231</v>
      </c>
      <c r="E510" t="s">
        <v>206</v>
      </c>
      <c r="F510">
        <v>28</v>
      </c>
      <c r="G510">
        <v>0</v>
      </c>
      <c r="H510">
        <v>0</v>
      </c>
      <c r="I510" t="s">
        <v>1232</v>
      </c>
      <c r="J510">
        <v>22.524999999999999</v>
      </c>
      <c r="K510" t="s">
        <v>22</v>
      </c>
      <c r="L510" t="s">
        <v>208</v>
      </c>
    </row>
    <row r="511" spans="1:12" x14ac:dyDescent="0.3">
      <c r="A511">
        <v>510</v>
      </c>
      <c r="B511">
        <v>1</v>
      </c>
      <c r="C511">
        <v>3</v>
      </c>
      <c r="D511" t="s">
        <v>1233</v>
      </c>
      <c r="E511" t="s">
        <v>206</v>
      </c>
      <c r="F511">
        <v>26</v>
      </c>
      <c r="G511">
        <v>0</v>
      </c>
      <c r="H511">
        <v>0</v>
      </c>
      <c r="I511" t="s">
        <v>372</v>
      </c>
      <c r="J511">
        <v>56.495800000000003</v>
      </c>
      <c r="K511" t="s">
        <v>22</v>
      </c>
      <c r="L511" t="s">
        <v>208</v>
      </c>
    </row>
    <row r="512" spans="1:12" x14ac:dyDescent="0.3">
      <c r="A512">
        <v>511</v>
      </c>
      <c r="B512">
        <v>1</v>
      </c>
      <c r="C512">
        <v>3</v>
      </c>
      <c r="D512" t="s">
        <v>1234</v>
      </c>
      <c r="E512" t="s">
        <v>206</v>
      </c>
      <c r="F512">
        <v>29</v>
      </c>
      <c r="G512">
        <v>0</v>
      </c>
      <c r="H512">
        <v>0</v>
      </c>
      <c r="I512" t="s">
        <v>1235</v>
      </c>
      <c r="J512">
        <v>7.75</v>
      </c>
      <c r="K512" t="s">
        <v>22</v>
      </c>
      <c r="L512" t="s">
        <v>223</v>
      </c>
    </row>
    <row r="513" spans="1:12" x14ac:dyDescent="0.3">
      <c r="A513">
        <v>512</v>
      </c>
      <c r="B513">
        <v>0</v>
      </c>
      <c r="C513">
        <v>3</v>
      </c>
      <c r="D513" t="s">
        <v>1236</v>
      </c>
      <c r="E513" t="s">
        <v>206</v>
      </c>
      <c r="G513">
        <v>0</v>
      </c>
      <c r="H513">
        <v>0</v>
      </c>
      <c r="I513" t="s">
        <v>1237</v>
      </c>
      <c r="J513">
        <v>8.0500000000000007</v>
      </c>
      <c r="K513" t="s">
        <v>22</v>
      </c>
      <c r="L513" t="s">
        <v>208</v>
      </c>
    </row>
    <row r="514" spans="1:12" x14ac:dyDescent="0.3">
      <c r="A514">
        <v>513</v>
      </c>
      <c r="B514">
        <v>1</v>
      </c>
      <c r="C514">
        <v>1</v>
      </c>
      <c r="D514" t="s">
        <v>1238</v>
      </c>
      <c r="E514" t="s">
        <v>206</v>
      </c>
      <c r="F514">
        <v>36</v>
      </c>
      <c r="G514">
        <v>0</v>
      </c>
      <c r="H514">
        <v>0</v>
      </c>
      <c r="I514" t="s">
        <v>1239</v>
      </c>
      <c r="J514">
        <v>26.287500000000001</v>
      </c>
      <c r="K514" t="s">
        <v>1240</v>
      </c>
      <c r="L514" t="s">
        <v>208</v>
      </c>
    </row>
    <row r="515" spans="1:12" x14ac:dyDescent="0.3">
      <c r="A515">
        <v>514</v>
      </c>
      <c r="B515">
        <v>1</v>
      </c>
      <c r="C515">
        <v>1</v>
      </c>
      <c r="D515" t="s">
        <v>1241</v>
      </c>
      <c r="E515" t="s">
        <v>210</v>
      </c>
      <c r="F515">
        <v>54</v>
      </c>
      <c r="G515">
        <v>1</v>
      </c>
      <c r="H515">
        <v>0</v>
      </c>
      <c r="I515" t="s">
        <v>1242</v>
      </c>
      <c r="J515">
        <v>59.4</v>
      </c>
      <c r="K515" t="s">
        <v>22</v>
      </c>
      <c r="L515" t="s">
        <v>213</v>
      </c>
    </row>
    <row r="516" spans="1:12" x14ac:dyDescent="0.3">
      <c r="A516">
        <v>515</v>
      </c>
      <c r="B516">
        <v>0</v>
      </c>
      <c r="C516">
        <v>3</v>
      </c>
      <c r="D516" t="s">
        <v>1243</v>
      </c>
      <c r="E516" t="s">
        <v>206</v>
      </c>
      <c r="F516">
        <v>24</v>
      </c>
      <c r="G516">
        <v>0</v>
      </c>
      <c r="H516">
        <v>0</v>
      </c>
      <c r="I516" t="s">
        <v>1244</v>
      </c>
      <c r="J516">
        <v>7.4958</v>
      </c>
      <c r="K516" t="s">
        <v>22</v>
      </c>
      <c r="L516" t="s">
        <v>208</v>
      </c>
    </row>
    <row r="517" spans="1:12" x14ac:dyDescent="0.3">
      <c r="A517">
        <v>516</v>
      </c>
      <c r="B517">
        <v>0</v>
      </c>
      <c r="C517">
        <v>1</v>
      </c>
      <c r="D517" t="s">
        <v>1245</v>
      </c>
      <c r="E517" t="s">
        <v>206</v>
      </c>
      <c r="F517">
        <v>47</v>
      </c>
      <c r="G517">
        <v>0</v>
      </c>
      <c r="H517">
        <v>0</v>
      </c>
      <c r="I517" t="s">
        <v>1246</v>
      </c>
      <c r="J517">
        <v>34.020800000000001</v>
      </c>
      <c r="K517" t="s">
        <v>1247</v>
      </c>
      <c r="L517" t="s">
        <v>208</v>
      </c>
    </row>
    <row r="518" spans="1:12" x14ac:dyDescent="0.3">
      <c r="A518">
        <v>517</v>
      </c>
      <c r="B518">
        <v>1</v>
      </c>
      <c r="C518">
        <v>2</v>
      </c>
      <c r="D518" t="s">
        <v>1248</v>
      </c>
      <c r="E518" t="s">
        <v>210</v>
      </c>
      <c r="F518">
        <v>34</v>
      </c>
      <c r="G518">
        <v>0</v>
      </c>
      <c r="H518">
        <v>0</v>
      </c>
      <c r="I518" t="s">
        <v>1249</v>
      </c>
      <c r="J518">
        <v>10.5</v>
      </c>
      <c r="K518" t="s">
        <v>357</v>
      </c>
      <c r="L518" t="s">
        <v>208</v>
      </c>
    </row>
    <row r="519" spans="1:12" x14ac:dyDescent="0.3">
      <c r="A519">
        <v>518</v>
      </c>
      <c r="B519">
        <v>0</v>
      </c>
      <c r="C519">
        <v>3</v>
      </c>
      <c r="D519" t="s">
        <v>1250</v>
      </c>
      <c r="E519" t="s">
        <v>206</v>
      </c>
      <c r="G519">
        <v>0</v>
      </c>
      <c r="H519">
        <v>0</v>
      </c>
      <c r="I519" t="s">
        <v>446</v>
      </c>
      <c r="J519">
        <v>24.15</v>
      </c>
      <c r="K519" t="s">
        <v>22</v>
      </c>
      <c r="L519" t="s">
        <v>223</v>
      </c>
    </row>
    <row r="520" spans="1:12" x14ac:dyDescent="0.3">
      <c r="A520">
        <v>519</v>
      </c>
      <c r="B520">
        <v>1</v>
      </c>
      <c r="C520">
        <v>2</v>
      </c>
      <c r="D520" t="s">
        <v>1251</v>
      </c>
      <c r="E520" t="s">
        <v>210</v>
      </c>
      <c r="F520">
        <v>36</v>
      </c>
      <c r="G520">
        <v>1</v>
      </c>
      <c r="H520">
        <v>0</v>
      </c>
      <c r="I520" t="s">
        <v>1252</v>
      </c>
      <c r="J520">
        <v>26</v>
      </c>
      <c r="K520" t="s">
        <v>22</v>
      </c>
      <c r="L520" t="s">
        <v>208</v>
      </c>
    </row>
    <row r="521" spans="1:12" x14ac:dyDescent="0.3">
      <c r="A521">
        <v>520</v>
      </c>
      <c r="B521">
        <v>0</v>
      </c>
      <c r="C521">
        <v>3</v>
      </c>
      <c r="D521" t="s">
        <v>1253</v>
      </c>
      <c r="E521" t="s">
        <v>206</v>
      </c>
      <c r="F521">
        <v>32</v>
      </c>
      <c r="G521">
        <v>0</v>
      </c>
      <c r="H521">
        <v>0</v>
      </c>
      <c r="I521" t="s">
        <v>1254</v>
      </c>
      <c r="J521">
        <v>7.8958000000000004</v>
      </c>
      <c r="K521" t="s">
        <v>22</v>
      </c>
      <c r="L521" t="s">
        <v>208</v>
      </c>
    </row>
    <row r="522" spans="1:12" x14ac:dyDescent="0.3">
      <c r="A522">
        <v>521</v>
      </c>
      <c r="B522">
        <v>1</v>
      </c>
      <c r="C522">
        <v>1</v>
      </c>
      <c r="D522" t="s">
        <v>1255</v>
      </c>
      <c r="E522" t="s">
        <v>210</v>
      </c>
      <c r="F522">
        <v>30</v>
      </c>
      <c r="G522">
        <v>0</v>
      </c>
      <c r="H522">
        <v>0</v>
      </c>
      <c r="I522" t="s">
        <v>1256</v>
      </c>
      <c r="J522">
        <v>93.5</v>
      </c>
      <c r="K522" t="s">
        <v>1257</v>
      </c>
      <c r="L522" t="s">
        <v>208</v>
      </c>
    </row>
    <row r="523" spans="1:12" x14ac:dyDescent="0.3">
      <c r="A523">
        <v>522</v>
      </c>
      <c r="B523">
        <v>0</v>
      </c>
      <c r="C523">
        <v>3</v>
      </c>
      <c r="D523" t="s">
        <v>1258</v>
      </c>
      <c r="E523" t="s">
        <v>206</v>
      </c>
      <c r="F523">
        <v>22</v>
      </c>
      <c r="G523">
        <v>0</v>
      </c>
      <c r="H523">
        <v>0</v>
      </c>
      <c r="I523" t="s">
        <v>1259</v>
      </c>
      <c r="J523">
        <v>7.8958000000000004</v>
      </c>
      <c r="K523" t="s">
        <v>22</v>
      </c>
      <c r="L523" t="s">
        <v>208</v>
      </c>
    </row>
    <row r="524" spans="1:12" x14ac:dyDescent="0.3">
      <c r="A524">
        <v>523</v>
      </c>
      <c r="B524">
        <v>0</v>
      </c>
      <c r="C524">
        <v>3</v>
      </c>
      <c r="D524" t="s">
        <v>1260</v>
      </c>
      <c r="E524" t="s">
        <v>206</v>
      </c>
      <c r="G524">
        <v>0</v>
      </c>
      <c r="H524">
        <v>0</v>
      </c>
      <c r="I524" t="s">
        <v>1261</v>
      </c>
      <c r="J524">
        <v>7.2249999999999996</v>
      </c>
      <c r="K524" t="s">
        <v>22</v>
      </c>
      <c r="L524" t="s">
        <v>213</v>
      </c>
    </row>
    <row r="525" spans="1:12" x14ac:dyDescent="0.3">
      <c r="A525">
        <v>524</v>
      </c>
      <c r="B525">
        <v>1</v>
      </c>
      <c r="C525">
        <v>1</v>
      </c>
      <c r="D525" t="s">
        <v>1262</v>
      </c>
      <c r="E525" t="s">
        <v>210</v>
      </c>
      <c r="F525">
        <v>44</v>
      </c>
      <c r="G525">
        <v>0</v>
      </c>
      <c r="H525">
        <v>1</v>
      </c>
      <c r="I525" t="s">
        <v>892</v>
      </c>
      <c r="J525">
        <v>57.979199999999999</v>
      </c>
      <c r="K525" t="s">
        <v>893</v>
      </c>
      <c r="L525" t="s">
        <v>213</v>
      </c>
    </row>
    <row r="526" spans="1:12" x14ac:dyDescent="0.3">
      <c r="A526">
        <v>525</v>
      </c>
      <c r="B526">
        <v>0</v>
      </c>
      <c r="C526">
        <v>3</v>
      </c>
      <c r="D526" t="s">
        <v>1263</v>
      </c>
      <c r="E526" t="s">
        <v>206</v>
      </c>
      <c r="G526">
        <v>0</v>
      </c>
      <c r="H526">
        <v>0</v>
      </c>
      <c r="I526" t="s">
        <v>1264</v>
      </c>
      <c r="J526">
        <v>7.2291999999999996</v>
      </c>
      <c r="K526" t="s">
        <v>22</v>
      </c>
      <c r="L526" t="s">
        <v>213</v>
      </c>
    </row>
    <row r="527" spans="1:12" x14ac:dyDescent="0.3">
      <c r="A527">
        <v>526</v>
      </c>
      <c r="B527">
        <v>0</v>
      </c>
      <c r="C527">
        <v>3</v>
      </c>
      <c r="D527" t="s">
        <v>1265</v>
      </c>
      <c r="E527" t="s">
        <v>206</v>
      </c>
      <c r="F527">
        <v>40.5</v>
      </c>
      <c r="G527">
        <v>0</v>
      </c>
      <c r="H527">
        <v>0</v>
      </c>
      <c r="I527" t="s">
        <v>1266</v>
      </c>
      <c r="J527">
        <v>7.75</v>
      </c>
      <c r="K527" t="s">
        <v>22</v>
      </c>
      <c r="L527" t="s">
        <v>223</v>
      </c>
    </row>
    <row r="528" spans="1:12" x14ac:dyDescent="0.3">
      <c r="A528">
        <v>527</v>
      </c>
      <c r="B528">
        <v>1</v>
      </c>
      <c r="C528">
        <v>2</v>
      </c>
      <c r="D528" t="s">
        <v>1267</v>
      </c>
      <c r="E528" t="s">
        <v>210</v>
      </c>
      <c r="F528">
        <v>50</v>
      </c>
      <c r="G528">
        <v>0</v>
      </c>
      <c r="H528">
        <v>0</v>
      </c>
      <c r="I528" t="s">
        <v>1268</v>
      </c>
      <c r="J528">
        <v>10.5</v>
      </c>
      <c r="K528" t="s">
        <v>22</v>
      </c>
      <c r="L528" t="s">
        <v>208</v>
      </c>
    </row>
    <row r="529" spans="1:12" x14ac:dyDescent="0.3">
      <c r="A529">
        <v>528</v>
      </c>
      <c r="B529">
        <v>0</v>
      </c>
      <c r="C529">
        <v>1</v>
      </c>
      <c r="D529" t="s">
        <v>1269</v>
      </c>
      <c r="E529" t="s">
        <v>206</v>
      </c>
      <c r="G529">
        <v>0</v>
      </c>
      <c r="H529">
        <v>0</v>
      </c>
      <c r="I529" t="s">
        <v>1270</v>
      </c>
      <c r="J529">
        <v>221.7792</v>
      </c>
      <c r="K529" t="s">
        <v>1271</v>
      </c>
      <c r="L529" t="s">
        <v>208</v>
      </c>
    </row>
    <row r="530" spans="1:12" x14ac:dyDescent="0.3">
      <c r="A530">
        <v>529</v>
      </c>
      <c r="B530">
        <v>0</v>
      </c>
      <c r="C530">
        <v>3</v>
      </c>
      <c r="D530" t="s">
        <v>1272</v>
      </c>
      <c r="E530" t="s">
        <v>206</v>
      </c>
      <c r="F530">
        <v>39</v>
      </c>
      <c r="G530">
        <v>0</v>
      </c>
      <c r="H530">
        <v>0</v>
      </c>
      <c r="I530" t="s">
        <v>1273</v>
      </c>
      <c r="J530">
        <v>7.9249999999999998</v>
      </c>
      <c r="K530" t="s">
        <v>22</v>
      </c>
      <c r="L530" t="s">
        <v>208</v>
      </c>
    </row>
    <row r="531" spans="1:12" x14ac:dyDescent="0.3">
      <c r="A531">
        <v>530</v>
      </c>
      <c r="B531">
        <v>0</v>
      </c>
      <c r="C531">
        <v>2</v>
      </c>
      <c r="D531" t="s">
        <v>1274</v>
      </c>
      <c r="E531" t="s">
        <v>206</v>
      </c>
      <c r="F531">
        <v>23</v>
      </c>
      <c r="G531">
        <v>2</v>
      </c>
      <c r="H531">
        <v>1</v>
      </c>
      <c r="I531" t="s">
        <v>1275</v>
      </c>
      <c r="J531">
        <v>11.5</v>
      </c>
      <c r="K531" t="s">
        <v>22</v>
      </c>
      <c r="L531" t="s">
        <v>208</v>
      </c>
    </row>
    <row r="532" spans="1:12" x14ac:dyDescent="0.3">
      <c r="A532">
        <v>531</v>
      </c>
      <c r="B532">
        <v>1</v>
      </c>
      <c r="C532">
        <v>2</v>
      </c>
      <c r="D532" t="s">
        <v>1276</v>
      </c>
      <c r="E532" t="s">
        <v>210</v>
      </c>
      <c r="F532">
        <v>2</v>
      </c>
      <c r="G532">
        <v>1</v>
      </c>
      <c r="H532">
        <v>1</v>
      </c>
      <c r="I532" t="s">
        <v>1228</v>
      </c>
      <c r="J532">
        <v>26</v>
      </c>
      <c r="K532" t="s">
        <v>22</v>
      </c>
      <c r="L532" t="s">
        <v>208</v>
      </c>
    </row>
    <row r="533" spans="1:12" x14ac:dyDescent="0.3">
      <c r="A533">
        <v>532</v>
      </c>
      <c r="B533">
        <v>0</v>
      </c>
      <c r="C533">
        <v>3</v>
      </c>
      <c r="D533" t="s">
        <v>1277</v>
      </c>
      <c r="E533" t="s">
        <v>206</v>
      </c>
      <c r="G533">
        <v>0</v>
      </c>
      <c r="H533">
        <v>0</v>
      </c>
      <c r="I533" t="s">
        <v>1278</v>
      </c>
      <c r="J533">
        <v>7.2291999999999996</v>
      </c>
      <c r="K533" t="s">
        <v>22</v>
      </c>
      <c r="L533" t="s">
        <v>213</v>
      </c>
    </row>
    <row r="534" spans="1:12" x14ac:dyDescent="0.3">
      <c r="A534">
        <v>533</v>
      </c>
      <c r="B534">
        <v>0</v>
      </c>
      <c r="C534">
        <v>3</v>
      </c>
      <c r="D534" t="s">
        <v>1279</v>
      </c>
      <c r="E534" t="s">
        <v>206</v>
      </c>
      <c r="F534">
        <v>17</v>
      </c>
      <c r="G534">
        <v>1</v>
      </c>
      <c r="H534">
        <v>1</v>
      </c>
      <c r="I534" t="s">
        <v>1280</v>
      </c>
      <c r="J534">
        <v>7.2291999999999996</v>
      </c>
      <c r="K534" t="s">
        <v>22</v>
      </c>
      <c r="L534" t="s">
        <v>213</v>
      </c>
    </row>
    <row r="535" spans="1:12" x14ac:dyDescent="0.3">
      <c r="A535">
        <v>534</v>
      </c>
      <c r="B535">
        <v>1</v>
      </c>
      <c r="C535">
        <v>3</v>
      </c>
      <c r="D535" t="s">
        <v>1281</v>
      </c>
      <c r="E535" t="s">
        <v>210</v>
      </c>
      <c r="G535">
        <v>0</v>
      </c>
      <c r="H535">
        <v>2</v>
      </c>
      <c r="I535" t="s">
        <v>481</v>
      </c>
      <c r="J535">
        <v>22.3583</v>
      </c>
      <c r="K535" t="s">
        <v>22</v>
      </c>
      <c r="L535" t="s">
        <v>213</v>
      </c>
    </row>
    <row r="536" spans="1:12" x14ac:dyDescent="0.3">
      <c r="A536">
        <v>535</v>
      </c>
      <c r="B536">
        <v>0</v>
      </c>
      <c r="C536">
        <v>3</v>
      </c>
      <c r="D536" t="s">
        <v>1282</v>
      </c>
      <c r="E536" t="s">
        <v>210</v>
      </c>
      <c r="F536">
        <v>30</v>
      </c>
      <c r="G536">
        <v>0</v>
      </c>
      <c r="H536">
        <v>0</v>
      </c>
      <c r="I536" t="s">
        <v>1283</v>
      </c>
      <c r="J536">
        <v>8.6624999999999996</v>
      </c>
      <c r="K536" t="s">
        <v>22</v>
      </c>
      <c r="L536" t="s">
        <v>208</v>
      </c>
    </row>
    <row r="537" spans="1:12" x14ac:dyDescent="0.3">
      <c r="A537">
        <v>536</v>
      </c>
      <c r="B537">
        <v>1</v>
      </c>
      <c r="C537">
        <v>2</v>
      </c>
      <c r="D537" t="s">
        <v>1284</v>
      </c>
      <c r="E537" t="s">
        <v>210</v>
      </c>
      <c r="F537">
        <v>7</v>
      </c>
      <c r="G537">
        <v>0</v>
      </c>
      <c r="H537">
        <v>2</v>
      </c>
      <c r="I537" t="s">
        <v>864</v>
      </c>
      <c r="J537">
        <v>26.25</v>
      </c>
      <c r="K537" t="s">
        <v>22</v>
      </c>
      <c r="L537" t="s">
        <v>208</v>
      </c>
    </row>
    <row r="538" spans="1:12" x14ac:dyDescent="0.3">
      <c r="A538">
        <v>537</v>
      </c>
      <c r="B538">
        <v>0</v>
      </c>
      <c r="C538">
        <v>1</v>
      </c>
      <c r="D538" t="s">
        <v>1285</v>
      </c>
      <c r="E538" t="s">
        <v>206</v>
      </c>
      <c r="F538">
        <v>45</v>
      </c>
      <c r="G538">
        <v>0</v>
      </c>
      <c r="H538">
        <v>0</v>
      </c>
      <c r="I538" t="s">
        <v>1286</v>
      </c>
      <c r="J538">
        <v>26.55</v>
      </c>
      <c r="K538" t="s">
        <v>1287</v>
      </c>
      <c r="L538" t="s">
        <v>208</v>
      </c>
    </row>
    <row r="539" spans="1:12" x14ac:dyDescent="0.3">
      <c r="A539">
        <v>538</v>
      </c>
      <c r="B539">
        <v>1</v>
      </c>
      <c r="C539">
        <v>1</v>
      </c>
      <c r="D539" t="s">
        <v>1288</v>
      </c>
      <c r="E539" t="s">
        <v>210</v>
      </c>
      <c r="F539">
        <v>30</v>
      </c>
      <c r="G539">
        <v>0</v>
      </c>
      <c r="H539">
        <v>0</v>
      </c>
      <c r="I539" t="s">
        <v>1289</v>
      </c>
      <c r="J539">
        <v>106.425</v>
      </c>
      <c r="K539" t="s">
        <v>22</v>
      </c>
      <c r="L539" t="s">
        <v>213</v>
      </c>
    </row>
    <row r="540" spans="1:12" x14ac:dyDescent="0.3">
      <c r="A540">
        <v>539</v>
      </c>
      <c r="B540">
        <v>0</v>
      </c>
      <c r="C540">
        <v>3</v>
      </c>
      <c r="D540" t="s">
        <v>1290</v>
      </c>
      <c r="E540" t="s">
        <v>206</v>
      </c>
      <c r="G540">
        <v>0</v>
      </c>
      <c r="H540">
        <v>0</v>
      </c>
      <c r="I540" t="s">
        <v>1291</v>
      </c>
      <c r="J540">
        <v>14.5</v>
      </c>
      <c r="K540" t="s">
        <v>22</v>
      </c>
      <c r="L540" t="s">
        <v>208</v>
      </c>
    </row>
    <row r="541" spans="1:12" x14ac:dyDescent="0.3">
      <c r="A541">
        <v>540</v>
      </c>
      <c r="B541">
        <v>1</v>
      </c>
      <c r="C541">
        <v>1</v>
      </c>
      <c r="D541" t="s">
        <v>1292</v>
      </c>
      <c r="E541" t="s">
        <v>210</v>
      </c>
      <c r="F541">
        <v>22</v>
      </c>
      <c r="G541">
        <v>0</v>
      </c>
      <c r="H541">
        <v>2</v>
      </c>
      <c r="I541" t="s">
        <v>1293</v>
      </c>
      <c r="J541">
        <v>49.5</v>
      </c>
      <c r="K541" t="s">
        <v>1294</v>
      </c>
      <c r="L541" t="s">
        <v>213</v>
      </c>
    </row>
    <row r="542" spans="1:12" x14ac:dyDescent="0.3">
      <c r="A542">
        <v>541</v>
      </c>
      <c r="B542">
        <v>1</v>
      </c>
      <c r="C542">
        <v>1</v>
      </c>
      <c r="D542" t="s">
        <v>1295</v>
      </c>
      <c r="E542" t="s">
        <v>210</v>
      </c>
      <c r="F542">
        <v>36</v>
      </c>
      <c r="G542">
        <v>0</v>
      </c>
      <c r="H542">
        <v>2</v>
      </c>
      <c r="I542" t="s">
        <v>1296</v>
      </c>
      <c r="J542">
        <v>71</v>
      </c>
      <c r="K542" t="s">
        <v>1297</v>
      </c>
      <c r="L542" t="s">
        <v>208</v>
      </c>
    </row>
    <row r="543" spans="1:12" x14ac:dyDescent="0.3">
      <c r="A543">
        <v>542</v>
      </c>
      <c r="B543">
        <v>0</v>
      </c>
      <c r="C543">
        <v>3</v>
      </c>
      <c r="D543" t="s">
        <v>1298</v>
      </c>
      <c r="E543" t="s">
        <v>210</v>
      </c>
      <c r="F543">
        <v>9</v>
      </c>
      <c r="G543">
        <v>4</v>
      </c>
      <c r="H543">
        <v>2</v>
      </c>
      <c r="I543" t="s">
        <v>242</v>
      </c>
      <c r="J543">
        <v>31.274999999999999</v>
      </c>
      <c r="K543" t="s">
        <v>22</v>
      </c>
      <c r="L543" t="s">
        <v>208</v>
      </c>
    </row>
    <row r="544" spans="1:12" x14ac:dyDescent="0.3">
      <c r="A544">
        <v>543</v>
      </c>
      <c r="B544">
        <v>0</v>
      </c>
      <c r="C544">
        <v>3</v>
      </c>
      <c r="D544" t="s">
        <v>1299</v>
      </c>
      <c r="E544" t="s">
        <v>210</v>
      </c>
      <c r="F544">
        <v>11</v>
      </c>
      <c r="G544">
        <v>4</v>
      </c>
      <c r="H544">
        <v>2</v>
      </c>
      <c r="I544" t="s">
        <v>242</v>
      </c>
      <c r="J544">
        <v>31.274999999999999</v>
      </c>
      <c r="K544" t="s">
        <v>22</v>
      </c>
      <c r="L544" t="s">
        <v>208</v>
      </c>
    </row>
    <row r="545" spans="1:12" x14ac:dyDescent="0.3">
      <c r="A545">
        <v>544</v>
      </c>
      <c r="B545">
        <v>1</v>
      </c>
      <c r="C545">
        <v>2</v>
      </c>
      <c r="D545" t="s">
        <v>1300</v>
      </c>
      <c r="E545" t="s">
        <v>206</v>
      </c>
      <c r="F545">
        <v>32</v>
      </c>
      <c r="G545">
        <v>1</v>
      </c>
      <c r="H545">
        <v>0</v>
      </c>
      <c r="I545" t="s">
        <v>1301</v>
      </c>
      <c r="J545">
        <v>26</v>
      </c>
      <c r="K545" t="s">
        <v>22</v>
      </c>
      <c r="L545" t="s">
        <v>208</v>
      </c>
    </row>
    <row r="546" spans="1:12" x14ac:dyDescent="0.3">
      <c r="A546">
        <v>545</v>
      </c>
      <c r="B546">
        <v>0</v>
      </c>
      <c r="C546">
        <v>1</v>
      </c>
      <c r="D546" t="s">
        <v>1302</v>
      </c>
      <c r="E546" t="s">
        <v>206</v>
      </c>
      <c r="F546">
        <v>50</v>
      </c>
      <c r="G546">
        <v>1</v>
      </c>
      <c r="H546">
        <v>0</v>
      </c>
      <c r="I546" t="s">
        <v>1289</v>
      </c>
      <c r="J546">
        <v>106.425</v>
      </c>
      <c r="K546" t="s">
        <v>1303</v>
      </c>
      <c r="L546" t="s">
        <v>213</v>
      </c>
    </row>
    <row r="547" spans="1:12" x14ac:dyDescent="0.3">
      <c r="A547">
        <v>546</v>
      </c>
      <c r="B547">
        <v>0</v>
      </c>
      <c r="C547">
        <v>1</v>
      </c>
      <c r="D547" t="s">
        <v>1304</v>
      </c>
      <c r="E547" t="s">
        <v>206</v>
      </c>
      <c r="F547">
        <v>64</v>
      </c>
      <c r="G547">
        <v>0</v>
      </c>
      <c r="H547">
        <v>0</v>
      </c>
      <c r="I547" t="s">
        <v>1305</v>
      </c>
      <c r="J547">
        <v>26</v>
      </c>
      <c r="K547" t="s">
        <v>22</v>
      </c>
      <c r="L547" t="s">
        <v>208</v>
      </c>
    </row>
    <row r="548" spans="1:12" x14ac:dyDescent="0.3">
      <c r="A548">
        <v>547</v>
      </c>
      <c r="B548">
        <v>1</v>
      </c>
      <c r="C548">
        <v>2</v>
      </c>
      <c r="D548" t="s">
        <v>1306</v>
      </c>
      <c r="E548" t="s">
        <v>210</v>
      </c>
      <c r="F548">
        <v>19</v>
      </c>
      <c r="G548">
        <v>1</v>
      </c>
      <c r="H548">
        <v>0</v>
      </c>
      <c r="I548" t="s">
        <v>1301</v>
      </c>
      <c r="J548">
        <v>26</v>
      </c>
      <c r="K548" t="s">
        <v>22</v>
      </c>
      <c r="L548" t="s">
        <v>208</v>
      </c>
    </row>
    <row r="549" spans="1:12" x14ac:dyDescent="0.3">
      <c r="A549">
        <v>548</v>
      </c>
      <c r="B549">
        <v>1</v>
      </c>
      <c r="C549">
        <v>2</v>
      </c>
      <c r="D549" t="s">
        <v>1307</v>
      </c>
      <c r="E549" t="s">
        <v>206</v>
      </c>
      <c r="G549">
        <v>0</v>
      </c>
      <c r="H549">
        <v>0</v>
      </c>
      <c r="I549" t="s">
        <v>1308</v>
      </c>
      <c r="J549">
        <v>13.862500000000001</v>
      </c>
      <c r="K549" t="s">
        <v>22</v>
      </c>
      <c r="L549" t="s">
        <v>213</v>
      </c>
    </row>
    <row r="550" spans="1:12" x14ac:dyDescent="0.3">
      <c r="A550">
        <v>549</v>
      </c>
      <c r="B550">
        <v>0</v>
      </c>
      <c r="C550">
        <v>3</v>
      </c>
      <c r="D550" t="s">
        <v>1309</v>
      </c>
      <c r="E550" t="s">
        <v>206</v>
      </c>
      <c r="F550">
        <v>33</v>
      </c>
      <c r="G550">
        <v>1</v>
      </c>
      <c r="H550">
        <v>1</v>
      </c>
      <c r="I550" t="s">
        <v>557</v>
      </c>
      <c r="J550">
        <v>20.524999999999999</v>
      </c>
      <c r="K550" t="s">
        <v>22</v>
      </c>
      <c r="L550" t="s">
        <v>208</v>
      </c>
    </row>
    <row r="551" spans="1:12" x14ac:dyDescent="0.3">
      <c r="A551">
        <v>550</v>
      </c>
      <c r="B551">
        <v>1</v>
      </c>
      <c r="C551">
        <v>2</v>
      </c>
      <c r="D551" t="s">
        <v>1310</v>
      </c>
      <c r="E551" t="s">
        <v>206</v>
      </c>
      <c r="F551">
        <v>8</v>
      </c>
      <c r="G551">
        <v>1</v>
      </c>
      <c r="H551">
        <v>1</v>
      </c>
      <c r="I551" t="s">
        <v>517</v>
      </c>
      <c r="J551">
        <v>36.75</v>
      </c>
      <c r="K551" t="s">
        <v>22</v>
      </c>
      <c r="L551" t="s">
        <v>208</v>
      </c>
    </row>
    <row r="552" spans="1:12" x14ac:dyDescent="0.3">
      <c r="A552">
        <v>551</v>
      </c>
      <c r="B552">
        <v>1</v>
      </c>
      <c r="C552">
        <v>1</v>
      </c>
      <c r="D552" t="s">
        <v>1311</v>
      </c>
      <c r="E552" t="s">
        <v>206</v>
      </c>
      <c r="F552">
        <v>17</v>
      </c>
      <c r="G552">
        <v>0</v>
      </c>
      <c r="H552">
        <v>2</v>
      </c>
      <c r="I552" t="s">
        <v>844</v>
      </c>
      <c r="J552">
        <v>110.88330000000001</v>
      </c>
      <c r="K552" t="s">
        <v>1312</v>
      </c>
      <c r="L552" t="s">
        <v>213</v>
      </c>
    </row>
    <row r="553" spans="1:12" x14ac:dyDescent="0.3">
      <c r="A553">
        <v>552</v>
      </c>
      <c r="B553">
        <v>0</v>
      </c>
      <c r="C553">
        <v>2</v>
      </c>
      <c r="D553" t="s">
        <v>1313</v>
      </c>
      <c r="E553" t="s">
        <v>206</v>
      </c>
      <c r="F553">
        <v>27</v>
      </c>
      <c r="G553">
        <v>0</v>
      </c>
      <c r="H553">
        <v>0</v>
      </c>
      <c r="I553" t="s">
        <v>1314</v>
      </c>
      <c r="J553">
        <v>26</v>
      </c>
      <c r="K553" t="s">
        <v>22</v>
      </c>
      <c r="L553" t="s">
        <v>208</v>
      </c>
    </row>
    <row r="554" spans="1:12" x14ac:dyDescent="0.3">
      <c r="A554">
        <v>553</v>
      </c>
      <c r="B554">
        <v>0</v>
      </c>
      <c r="C554">
        <v>3</v>
      </c>
      <c r="D554" t="s">
        <v>1315</v>
      </c>
      <c r="E554" t="s">
        <v>206</v>
      </c>
      <c r="G554">
        <v>0</v>
      </c>
      <c r="H554">
        <v>0</v>
      </c>
      <c r="I554" t="s">
        <v>1316</v>
      </c>
      <c r="J554">
        <v>7.8292000000000002</v>
      </c>
      <c r="K554" t="s">
        <v>22</v>
      </c>
      <c r="L554" t="s">
        <v>223</v>
      </c>
    </row>
    <row r="555" spans="1:12" x14ac:dyDescent="0.3">
      <c r="A555">
        <v>554</v>
      </c>
      <c r="B555">
        <v>1</v>
      </c>
      <c r="C555">
        <v>3</v>
      </c>
      <c r="D555" t="s">
        <v>1317</v>
      </c>
      <c r="E555" t="s">
        <v>206</v>
      </c>
      <c r="F555">
        <v>22</v>
      </c>
      <c r="G555">
        <v>0</v>
      </c>
      <c r="H555">
        <v>0</v>
      </c>
      <c r="I555" t="s">
        <v>1318</v>
      </c>
      <c r="J555">
        <v>7.2249999999999996</v>
      </c>
      <c r="K555" t="s">
        <v>22</v>
      </c>
      <c r="L555" t="s">
        <v>213</v>
      </c>
    </row>
    <row r="556" spans="1:12" x14ac:dyDescent="0.3">
      <c r="A556">
        <v>555</v>
      </c>
      <c r="B556">
        <v>1</v>
      </c>
      <c r="C556">
        <v>3</v>
      </c>
      <c r="D556" t="s">
        <v>1319</v>
      </c>
      <c r="E556" t="s">
        <v>210</v>
      </c>
      <c r="F556">
        <v>22</v>
      </c>
      <c r="G556">
        <v>0</v>
      </c>
      <c r="H556">
        <v>0</v>
      </c>
      <c r="I556" t="s">
        <v>1320</v>
      </c>
      <c r="J556">
        <v>7.7750000000000004</v>
      </c>
      <c r="K556" t="s">
        <v>22</v>
      </c>
      <c r="L556" t="s">
        <v>208</v>
      </c>
    </row>
    <row r="557" spans="1:12" x14ac:dyDescent="0.3">
      <c r="A557">
        <v>556</v>
      </c>
      <c r="B557">
        <v>0</v>
      </c>
      <c r="C557">
        <v>1</v>
      </c>
      <c r="D557" t="s">
        <v>1321</v>
      </c>
      <c r="E557" t="s">
        <v>206</v>
      </c>
      <c r="F557">
        <v>62</v>
      </c>
      <c r="G557">
        <v>0</v>
      </c>
      <c r="H557">
        <v>0</v>
      </c>
      <c r="I557" t="s">
        <v>1322</v>
      </c>
      <c r="J557">
        <v>26.55</v>
      </c>
      <c r="K557" t="s">
        <v>22</v>
      </c>
      <c r="L557" t="s">
        <v>208</v>
      </c>
    </row>
    <row r="558" spans="1:12" x14ac:dyDescent="0.3">
      <c r="A558">
        <v>557</v>
      </c>
      <c r="B558">
        <v>1</v>
      </c>
      <c r="C558">
        <v>1</v>
      </c>
      <c r="D558" t="s">
        <v>1323</v>
      </c>
      <c r="E558" t="s">
        <v>210</v>
      </c>
      <c r="F558">
        <v>48</v>
      </c>
      <c r="G558">
        <v>1</v>
      </c>
      <c r="H558">
        <v>0</v>
      </c>
      <c r="I558" t="s">
        <v>1324</v>
      </c>
      <c r="J558">
        <v>39.6</v>
      </c>
      <c r="K558" t="s">
        <v>1325</v>
      </c>
      <c r="L558" t="s">
        <v>213</v>
      </c>
    </row>
    <row r="559" spans="1:12" x14ac:dyDescent="0.3">
      <c r="A559">
        <v>558</v>
      </c>
      <c r="B559">
        <v>0</v>
      </c>
      <c r="C559">
        <v>1</v>
      </c>
      <c r="D559" t="s">
        <v>1326</v>
      </c>
      <c r="E559" t="s">
        <v>206</v>
      </c>
      <c r="G559">
        <v>0</v>
      </c>
      <c r="H559">
        <v>0</v>
      </c>
      <c r="I559" t="s">
        <v>990</v>
      </c>
      <c r="J559">
        <v>227.52500000000001</v>
      </c>
      <c r="K559" t="s">
        <v>22</v>
      </c>
      <c r="L559" t="s">
        <v>213</v>
      </c>
    </row>
    <row r="560" spans="1:12" x14ac:dyDescent="0.3">
      <c r="A560">
        <v>559</v>
      </c>
      <c r="B560">
        <v>1</v>
      </c>
      <c r="C560">
        <v>1</v>
      </c>
      <c r="D560" t="s">
        <v>1327</v>
      </c>
      <c r="E560" t="s">
        <v>210</v>
      </c>
      <c r="F560">
        <v>39</v>
      </c>
      <c r="G560">
        <v>1</v>
      </c>
      <c r="H560">
        <v>1</v>
      </c>
      <c r="I560" t="s">
        <v>751</v>
      </c>
      <c r="J560">
        <v>79.650000000000006</v>
      </c>
      <c r="K560" t="s">
        <v>752</v>
      </c>
      <c r="L560" t="s">
        <v>208</v>
      </c>
    </row>
    <row r="561" spans="1:12" x14ac:dyDescent="0.3">
      <c r="A561">
        <v>560</v>
      </c>
      <c r="B561">
        <v>1</v>
      </c>
      <c r="C561">
        <v>3</v>
      </c>
      <c r="D561" t="s">
        <v>1328</v>
      </c>
      <c r="E561" t="s">
        <v>210</v>
      </c>
      <c r="F561">
        <v>36</v>
      </c>
      <c r="G561">
        <v>1</v>
      </c>
      <c r="H561">
        <v>0</v>
      </c>
      <c r="I561" t="s">
        <v>1329</v>
      </c>
      <c r="J561">
        <v>17.399999999999999</v>
      </c>
      <c r="K561" t="s">
        <v>22</v>
      </c>
      <c r="L561" t="s">
        <v>208</v>
      </c>
    </row>
    <row r="562" spans="1:12" x14ac:dyDescent="0.3">
      <c r="A562">
        <v>561</v>
      </c>
      <c r="B562">
        <v>0</v>
      </c>
      <c r="C562">
        <v>3</v>
      </c>
      <c r="D562" t="s">
        <v>1330</v>
      </c>
      <c r="E562" t="s">
        <v>206</v>
      </c>
      <c r="G562">
        <v>0</v>
      </c>
      <c r="H562">
        <v>0</v>
      </c>
      <c r="I562" t="s">
        <v>1331</v>
      </c>
      <c r="J562">
        <v>7.75</v>
      </c>
      <c r="K562" t="s">
        <v>22</v>
      </c>
      <c r="L562" t="s">
        <v>223</v>
      </c>
    </row>
    <row r="563" spans="1:12" x14ac:dyDescent="0.3">
      <c r="A563">
        <v>562</v>
      </c>
      <c r="B563">
        <v>0</v>
      </c>
      <c r="C563">
        <v>3</v>
      </c>
      <c r="D563" t="s">
        <v>1332</v>
      </c>
      <c r="E563" t="s">
        <v>206</v>
      </c>
      <c r="F563">
        <v>40</v>
      </c>
      <c r="G563">
        <v>0</v>
      </c>
      <c r="H563">
        <v>0</v>
      </c>
      <c r="I563" t="s">
        <v>1333</v>
      </c>
      <c r="J563">
        <v>7.8958000000000004</v>
      </c>
      <c r="K563" t="s">
        <v>22</v>
      </c>
      <c r="L563" t="s">
        <v>208</v>
      </c>
    </row>
    <row r="564" spans="1:12" x14ac:dyDescent="0.3">
      <c r="A564">
        <v>563</v>
      </c>
      <c r="B564">
        <v>0</v>
      </c>
      <c r="C564">
        <v>2</v>
      </c>
      <c r="D564" t="s">
        <v>1334</v>
      </c>
      <c r="E564" t="s">
        <v>206</v>
      </c>
      <c r="F564">
        <v>28</v>
      </c>
      <c r="G564">
        <v>0</v>
      </c>
      <c r="H564">
        <v>0</v>
      </c>
      <c r="I564" t="s">
        <v>1335</v>
      </c>
      <c r="J564">
        <v>13.5</v>
      </c>
      <c r="K564" t="s">
        <v>22</v>
      </c>
      <c r="L564" t="s">
        <v>208</v>
      </c>
    </row>
    <row r="565" spans="1:12" x14ac:dyDescent="0.3">
      <c r="A565">
        <v>564</v>
      </c>
      <c r="B565">
        <v>0</v>
      </c>
      <c r="C565">
        <v>3</v>
      </c>
      <c r="D565" t="s">
        <v>1336</v>
      </c>
      <c r="E565" t="s">
        <v>206</v>
      </c>
      <c r="G565">
        <v>0</v>
      </c>
      <c r="H565">
        <v>0</v>
      </c>
      <c r="I565" t="s">
        <v>1337</v>
      </c>
      <c r="J565">
        <v>8.0500000000000007</v>
      </c>
      <c r="K565" t="s">
        <v>22</v>
      </c>
      <c r="L565" t="s">
        <v>208</v>
      </c>
    </row>
    <row r="566" spans="1:12" x14ac:dyDescent="0.3">
      <c r="A566">
        <v>565</v>
      </c>
      <c r="B566">
        <v>0</v>
      </c>
      <c r="C566">
        <v>3</v>
      </c>
      <c r="D566" t="s">
        <v>1338</v>
      </c>
      <c r="E566" t="s">
        <v>210</v>
      </c>
      <c r="G566">
        <v>0</v>
      </c>
      <c r="H566">
        <v>0</v>
      </c>
      <c r="I566" t="s">
        <v>1339</v>
      </c>
      <c r="J566">
        <v>8.0500000000000007</v>
      </c>
      <c r="K566" t="s">
        <v>22</v>
      </c>
      <c r="L566" t="s">
        <v>208</v>
      </c>
    </row>
    <row r="567" spans="1:12" x14ac:dyDescent="0.3">
      <c r="A567">
        <v>566</v>
      </c>
      <c r="B567">
        <v>0</v>
      </c>
      <c r="C567">
        <v>3</v>
      </c>
      <c r="D567" t="s">
        <v>1340</v>
      </c>
      <c r="E567" t="s">
        <v>206</v>
      </c>
      <c r="F567">
        <v>24</v>
      </c>
      <c r="G567">
        <v>2</v>
      </c>
      <c r="H567">
        <v>0</v>
      </c>
      <c r="I567" t="s">
        <v>1341</v>
      </c>
      <c r="J567">
        <v>24.15</v>
      </c>
      <c r="K567" t="s">
        <v>22</v>
      </c>
      <c r="L567" t="s">
        <v>208</v>
      </c>
    </row>
    <row r="568" spans="1:12" x14ac:dyDescent="0.3">
      <c r="A568">
        <v>567</v>
      </c>
      <c r="B568">
        <v>0</v>
      </c>
      <c r="C568">
        <v>3</v>
      </c>
      <c r="D568" t="s">
        <v>1342</v>
      </c>
      <c r="E568" t="s">
        <v>206</v>
      </c>
      <c r="F568">
        <v>19</v>
      </c>
      <c r="G568">
        <v>0</v>
      </c>
      <c r="H568">
        <v>0</v>
      </c>
      <c r="I568" t="s">
        <v>1343</v>
      </c>
      <c r="J568">
        <v>7.8958000000000004</v>
      </c>
      <c r="K568" t="s">
        <v>22</v>
      </c>
      <c r="L568" t="s">
        <v>208</v>
      </c>
    </row>
    <row r="569" spans="1:12" x14ac:dyDescent="0.3">
      <c r="A569">
        <v>568</v>
      </c>
      <c r="B569">
        <v>0</v>
      </c>
      <c r="C569">
        <v>3</v>
      </c>
      <c r="D569" t="s">
        <v>1344</v>
      </c>
      <c r="E569" t="s">
        <v>210</v>
      </c>
      <c r="F569">
        <v>29</v>
      </c>
      <c r="G569">
        <v>0</v>
      </c>
      <c r="H569">
        <v>4</v>
      </c>
      <c r="I569" t="s">
        <v>228</v>
      </c>
      <c r="J569">
        <v>21.074999999999999</v>
      </c>
      <c r="K569" t="s">
        <v>22</v>
      </c>
      <c r="L569" t="s">
        <v>208</v>
      </c>
    </row>
    <row r="570" spans="1:12" x14ac:dyDescent="0.3">
      <c r="A570">
        <v>569</v>
      </c>
      <c r="B570">
        <v>0</v>
      </c>
      <c r="C570">
        <v>3</v>
      </c>
      <c r="D570" t="s">
        <v>1345</v>
      </c>
      <c r="E570" t="s">
        <v>206</v>
      </c>
      <c r="G570">
        <v>0</v>
      </c>
      <c r="H570">
        <v>0</v>
      </c>
      <c r="I570" t="s">
        <v>1346</v>
      </c>
      <c r="J570">
        <v>7.2291999999999996</v>
      </c>
      <c r="K570" t="s">
        <v>22</v>
      </c>
      <c r="L570" t="s">
        <v>213</v>
      </c>
    </row>
    <row r="571" spans="1:12" x14ac:dyDescent="0.3">
      <c r="A571">
        <v>570</v>
      </c>
      <c r="B571">
        <v>1</v>
      </c>
      <c r="C571">
        <v>3</v>
      </c>
      <c r="D571" t="s">
        <v>1347</v>
      </c>
      <c r="E571" t="s">
        <v>206</v>
      </c>
      <c r="F571">
        <v>32</v>
      </c>
      <c r="G571">
        <v>0</v>
      </c>
      <c r="H571">
        <v>0</v>
      </c>
      <c r="I571" t="s">
        <v>1348</v>
      </c>
      <c r="J571">
        <v>7.8541999999999996</v>
      </c>
      <c r="K571" t="s">
        <v>22</v>
      </c>
      <c r="L571" t="s">
        <v>208</v>
      </c>
    </row>
    <row r="572" spans="1:12" x14ac:dyDescent="0.3">
      <c r="A572">
        <v>571</v>
      </c>
      <c r="B572">
        <v>1</v>
      </c>
      <c r="C572">
        <v>2</v>
      </c>
      <c r="D572" t="s">
        <v>1349</v>
      </c>
      <c r="E572" t="s">
        <v>206</v>
      </c>
      <c r="F572">
        <v>62</v>
      </c>
      <c r="G572">
        <v>0</v>
      </c>
      <c r="H572">
        <v>0</v>
      </c>
      <c r="I572" t="s">
        <v>1350</v>
      </c>
      <c r="J572">
        <v>10.5</v>
      </c>
      <c r="K572" t="s">
        <v>22</v>
      </c>
      <c r="L572" t="s">
        <v>208</v>
      </c>
    </row>
    <row r="573" spans="1:12" x14ac:dyDescent="0.3">
      <c r="A573">
        <v>572</v>
      </c>
      <c r="B573">
        <v>1</v>
      </c>
      <c r="C573">
        <v>1</v>
      </c>
      <c r="D573" t="s">
        <v>1351</v>
      </c>
      <c r="E573" t="s">
        <v>210</v>
      </c>
      <c r="F573">
        <v>53</v>
      </c>
      <c r="G573">
        <v>2</v>
      </c>
      <c r="H573">
        <v>0</v>
      </c>
      <c r="I573" t="s">
        <v>1352</v>
      </c>
      <c r="J573">
        <v>51.479199999999999</v>
      </c>
      <c r="K573" t="s">
        <v>1353</v>
      </c>
      <c r="L573" t="s">
        <v>208</v>
      </c>
    </row>
    <row r="574" spans="1:12" x14ac:dyDescent="0.3">
      <c r="A574">
        <v>573</v>
      </c>
      <c r="B574">
        <v>1</v>
      </c>
      <c r="C574">
        <v>1</v>
      </c>
      <c r="D574" t="s">
        <v>1354</v>
      </c>
      <c r="E574" t="s">
        <v>206</v>
      </c>
      <c r="F574">
        <v>36</v>
      </c>
      <c r="G574">
        <v>0</v>
      </c>
      <c r="H574">
        <v>0</v>
      </c>
      <c r="I574" t="s">
        <v>1355</v>
      </c>
      <c r="J574">
        <v>26.387499999999999</v>
      </c>
      <c r="K574" t="s">
        <v>1240</v>
      </c>
      <c r="L574" t="s">
        <v>208</v>
      </c>
    </row>
    <row r="575" spans="1:12" x14ac:dyDescent="0.3">
      <c r="A575">
        <v>574</v>
      </c>
      <c r="B575">
        <v>1</v>
      </c>
      <c r="C575">
        <v>3</v>
      </c>
      <c r="D575" t="s">
        <v>1356</v>
      </c>
      <c r="E575" t="s">
        <v>210</v>
      </c>
      <c r="G575">
        <v>0</v>
      </c>
      <c r="H575">
        <v>0</v>
      </c>
      <c r="I575" t="s">
        <v>1357</v>
      </c>
      <c r="J575">
        <v>7.75</v>
      </c>
      <c r="K575" t="s">
        <v>22</v>
      </c>
      <c r="L575" t="s">
        <v>223</v>
      </c>
    </row>
    <row r="576" spans="1:12" x14ac:dyDescent="0.3">
      <c r="A576">
        <v>575</v>
      </c>
      <c r="B576">
        <v>0</v>
      </c>
      <c r="C576">
        <v>3</v>
      </c>
      <c r="D576" t="s">
        <v>1358</v>
      </c>
      <c r="E576" t="s">
        <v>206</v>
      </c>
      <c r="F576">
        <v>16</v>
      </c>
      <c r="G576">
        <v>0</v>
      </c>
      <c r="H576">
        <v>0</v>
      </c>
      <c r="I576" t="s">
        <v>1359</v>
      </c>
      <c r="J576">
        <v>8.0500000000000007</v>
      </c>
      <c r="K576" t="s">
        <v>22</v>
      </c>
      <c r="L576" t="s">
        <v>208</v>
      </c>
    </row>
    <row r="577" spans="1:12" x14ac:dyDescent="0.3">
      <c r="A577">
        <v>576</v>
      </c>
      <c r="B577">
        <v>0</v>
      </c>
      <c r="C577">
        <v>3</v>
      </c>
      <c r="D577" t="s">
        <v>1360</v>
      </c>
      <c r="E577" t="s">
        <v>206</v>
      </c>
      <c r="F577">
        <v>19</v>
      </c>
      <c r="G577">
        <v>0</v>
      </c>
      <c r="H577">
        <v>0</v>
      </c>
      <c r="I577" t="s">
        <v>1361</v>
      </c>
      <c r="J577">
        <v>14.5</v>
      </c>
      <c r="K577" t="s">
        <v>22</v>
      </c>
      <c r="L577" t="s">
        <v>208</v>
      </c>
    </row>
    <row r="578" spans="1:12" x14ac:dyDescent="0.3">
      <c r="A578">
        <v>577</v>
      </c>
      <c r="B578">
        <v>1</v>
      </c>
      <c r="C578">
        <v>2</v>
      </c>
      <c r="D578" t="s">
        <v>1362</v>
      </c>
      <c r="E578" t="s">
        <v>210</v>
      </c>
      <c r="F578">
        <v>34</v>
      </c>
      <c r="G578">
        <v>0</v>
      </c>
      <c r="H578">
        <v>0</v>
      </c>
      <c r="I578" t="s">
        <v>1363</v>
      </c>
      <c r="J578">
        <v>13</v>
      </c>
      <c r="K578" t="s">
        <v>22</v>
      </c>
      <c r="L578" t="s">
        <v>208</v>
      </c>
    </row>
    <row r="579" spans="1:12" x14ac:dyDescent="0.3">
      <c r="A579">
        <v>578</v>
      </c>
      <c r="B579">
        <v>1</v>
      </c>
      <c r="C579">
        <v>1</v>
      </c>
      <c r="D579" t="s">
        <v>1364</v>
      </c>
      <c r="E579" t="s">
        <v>210</v>
      </c>
      <c r="F579">
        <v>39</v>
      </c>
      <c r="G579">
        <v>1</v>
      </c>
      <c r="H579">
        <v>0</v>
      </c>
      <c r="I579" t="s">
        <v>1090</v>
      </c>
      <c r="J579">
        <v>55.9</v>
      </c>
      <c r="K579" t="s">
        <v>1091</v>
      </c>
      <c r="L579" t="s">
        <v>208</v>
      </c>
    </row>
    <row r="580" spans="1:12" x14ac:dyDescent="0.3">
      <c r="A580">
        <v>579</v>
      </c>
      <c r="B580">
        <v>0</v>
      </c>
      <c r="C580">
        <v>3</v>
      </c>
      <c r="D580" t="s">
        <v>1365</v>
      </c>
      <c r="E580" t="s">
        <v>210</v>
      </c>
      <c r="G580">
        <v>1</v>
      </c>
      <c r="H580">
        <v>0</v>
      </c>
      <c r="I580" t="s">
        <v>1366</v>
      </c>
      <c r="J580">
        <v>14.458299999999999</v>
      </c>
      <c r="K580" t="s">
        <v>22</v>
      </c>
      <c r="L580" t="s">
        <v>213</v>
      </c>
    </row>
    <row r="581" spans="1:12" x14ac:dyDescent="0.3">
      <c r="A581">
        <v>580</v>
      </c>
      <c r="B581">
        <v>1</v>
      </c>
      <c r="C581">
        <v>3</v>
      </c>
      <c r="D581" t="s">
        <v>1367</v>
      </c>
      <c r="E581" t="s">
        <v>206</v>
      </c>
      <c r="F581">
        <v>32</v>
      </c>
      <c r="G581">
        <v>0</v>
      </c>
      <c r="H581">
        <v>0</v>
      </c>
      <c r="I581" t="s">
        <v>1368</v>
      </c>
      <c r="J581">
        <v>7.9249999999999998</v>
      </c>
      <c r="K581" t="s">
        <v>22</v>
      </c>
      <c r="L581" t="s">
        <v>208</v>
      </c>
    </row>
    <row r="582" spans="1:12" x14ac:dyDescent="0.3">
      <c r="A582">
        <v>581</v>
      </c>
      <c r="B582">
        <v>1</v>
      </c>
      <c r="C582">
        <v>2</v>
      </c>
      <c r="D582" t="s">
        <v>1369</v>
      </c>
      <c r="E582" t="s">
        <v>210</v>
      </c>
      <c r="F582">
        <v>25</v>
      </c>
      <c r="G582">
        <v>1</v>
      </c>
      <c r="H582">
        <v>1</v>
      </c>
      <c r="I582" t="s">
        <v>1370</v>
      </c>
      <c r="J582">
        <v>30</v>
      </c>
      <c r="K582" t="s">
        <v>22</v>
      </c>
      <c r="L582" t="s">
        <v>208</v>
      </c>
    </row>
    <row r="583" spans="1:12" x14ac:dyDescent="0.3">
      <c r="A583">
        <v>582</v>
      </c>
      <c r="B583">
        <v>1</v>
      </c>
      <c r="C583">
        <v>1</v>
      </c>
      <c r="D583" t="s">
        <v>1371</v>
      </c>
      <c r="E583" t="s">
        <v>210</v>
      </c>
      <c r="F583">
        <v>39</v>
      </c>
      <c r="G583">
        <v>1</v>
      </c>
      <c r="H583">
        <v>1</v>
      </c>
      <c r="I583" t="s">
        <v>844</v>
      </c>
      <c r="J583">
        <v>110.88330000000001</v>
      </c>
      <c r="K583" t="s">
        <v>1372</v>
      </c>
      <c r="L583" t="s">
        <v>213</v>
      </c>
    </row>
    <row r="584" spans="1:12" x14ac:dyDescent="0.3">
      <c r="A584">
        <v>583</v>
      </c>
      <c r="B584">
        <v>0</v>
      </c>
      <c r="C584">
        <v>2</v>
      </c>
      <c r="D584" t="s">
        <v>1373</v>
      </c>
      <c r="E584" t="s">
        <v>206</v>
      </c>
      <c r="F584">
        <v>54</v>
      </c>
      <c r="G584">
        <v>0</v>
      </c>
      <c r="H584">
        <v>0</v>
      </c>
      <c r="I584" t="s">
        <v>1020</v>
      </c>
      <c r="J584">
        <v>26</v>
      </c>
      <c r="K584" t="s">
        <v>22</v>
      </c>
      <c r="L584" t="s">
        <v>208</v>
      </c>
    </row>
    <row r="585" spans="1:12" x14ac:dyDescent="0.3">
      <c r="A585">
        <v>584</v>
      </c>
      <c r="B585">
        <v>0</v>
      </c>
      <c r="C585">
        <v>1</v>
      </c>
      <c r="D585" t="s">
        <v>1374</v>
      </c>
      <c r="E585" t="s">
        <v>206</v>
      </c>
      <c r="F585">
        <v>36</v>
      </c>
      <c r="G585">
        <v>0</v>
      </c>
      <c r="H585">
        <v>0</v>
      </c>
      <c r="I585" t="s">
        <v>1375</v>
      </c>
      <c r="J585">
        <v>40.125</v>
      </c>
      <c r="K585" t="s">
        <v>1376</v>
      </c>
      <c r="L585" t="s">
        <v>213</v>
      </c>
    </row>
    <row r="586" spans="1:12" x14ac:dyDescent="0.3">
      <c r="A586">
        <v>585</v>
      </c>
      <c r="B586">
        <v>0</v>
      </c>
      <c r="C586">
        <v>3</v>
      </c>
      <c r="D586" t="s">
        <v>1377</v>
      </c>
      <c r="E586" t="s">
        <v>206</v>
      </c>
      <c r="G586">
        <v>0</v>
      </c>
      <c r="H586">
        <v>0</v>
      </c>
      <c r="I586" t="s">
        <v>1378</v>
      </c>
      <c r="J586">
        <v>8.7125000000000004</v>
      </c>
      <c r="K586" t="s">
        <v>22</v>
      </c>
      <c r="L586" t="s">
        <v>213</v>
      </c>
    </row>
    <row r="587" spans="1:12" x14ac:dyDescent="0.3">
      <c r="A587">
        <v>586</v>
      </c>
      <c r="B587">
        <v>1</v>
      </c>
      <c r="C587">
        <v>1</v>
      </c>
      <c r="D587" t="s">
        <v>1379</v>
      </c>
      <c r="E587" t="s">
        <v>210</v>
      </c>
      <c r="F587">
        <v>18</v>
      </c>
      <c r="G587">
        <v>0</v>
      </c>
      <c r="H587">
        <v>2</v>
      </c>
      <c r="I587" t="s">
        <v>751</v>
      </c>
      <c r="J587">
        <v>79.650000000000006</v>
      </c>
      <c r="K587" t="s">
        <v>1380</v>
      </c>
      <c r="L587" t="s">
        <v>208</v>
      </c>
    </row>
    <row r="588" spans="1:12" x14ac:dyDescent="0.3">
      <c r="A588">
        <v>587</v>
      </c>
      <c r="B588">
        <v>0</v>
      </c>
      <c r="C588">
        <v>2</v>
      </c>
      <c r="D588" t="s">
        <v>1381</v>
      </c>
      <c r="E588" t="s">
        <v>206</v>
      </c>
      <c r="F588">
        <v>47</v>
      </c>
      <c r="G588">
        <v>0</v>
      </c>
      <c r="H588">
        <v>0</v>
      </c>
      <c r="I588" t="s">
        <v>1382</v>
      </c>
      <c r="J588">
        <v>15</v>
      </c>
      <c r="K588" t="s">
        <v>22</v>
      </c>
      <c r="L588" t="s">
        <v>208</v>
      </c>
    </row>
    <row r="589" spans="1:12" x14ac:dyDescent="0.3">
      <c r="A589">
        <v>588</v>
      </c>
      <c r="B589">
        <v>1</v>
      </c>
      <c r="C589">
        <v>1</v>
      </c>
      <c r="D589" t="s">
        <v>1383</v>
      </c>
      <c r="E589" t="s">
        <v>206</v>
      </c>
      <c r="F589">
        <v>60</v>
      </c>
      <c r="G589">
        <v>1</v>
      </c>
      <c r="H589">
        <v>1</v>
      </c>
      <c r="I589" t="s">
        <v>1384</v>
      </c>
      <c r="J589">
        <v>79.2</v>
      </c>
      <c r="K589" t="s">
        <v>1385</v>
      </c>
      <c r="L589" t="s">
        <v>213</v>
      </c>
    </row>
    <row r="590" spans="1:12" x14ac:dyDescent="0.3">
      <c r="A590">
        <v>589</v>
      </c>
      <c r="B590">
        <v>0</v>
      </c>
      <c r="C590">
        <v>3</v>
      </c>
      <c r="D590" t="s">
        <v>1386</v>
      </c>
      <c r="E590" t="s">
        <v>206</v>
      </c>
      <c r="F590">
        <v>22</v>
      </c>
      <c r="G590">
        <v>0</v>
      </c>
      <c r="H590">
        <v>0</v>
      </c>
      <c r="I590" t="s">
        <v>1387</v>
      </c>
      <c r="J590">
        <v>8.0500000000000007</v>
      </c>
      <c r="K590" t="s">
        <v>22</v>
      </c>
      <c r="L590" t="s">
        <v>208</v>
      </c>
    </row>
    <row r="591" spans="1:12" x14ac:dyDescent="0.3">
      <c r="A591">
        <v>590</v>
      </c>
      <c r="B591">
        <v>0</v>
      </c>
      <c r="C591">
        <v>3</v>
      </c>
      <c r="D591" t="s">
        <v>1388</v>
      </c>
      <c r="E591" t="s">
        <v>206</v>
      </c>
      <c r="G591">
        <v>0</v>
      </c>
      <c r="H591">
        <v>0</v>
      </c>
      <c r="I591" t="s">
        <v>1389</v>
      </c>
      <c r="J591">
        <v>8.0500000000000007</v>
      </c>
      <c r="K591" t="s">
        <v>22</v>
      </c>
      <c r="L591" t="s">
        <v>208</v>
      </c>
    </row>
    <row r="592" spans="1:12" x14ac:dyDescent="0.3">
      <c r="A592">
        <v>591</v>
      </c>
      <c r="B592">
        <v>0</v>
      </c>
      <c r="C592">
        <v>3</v>
      </c>
      <c r="D592" t="s">
        <v>1390</v>
      </c>
      <c r="E592" t="s">
        <v>206</v>
      </c>
      <c r="F592">
        <v>35</v>
      </c>
      <c r="G592">
        <v>0</v>
      </c>
      <c r="H592">
        <v>0</v>
      </c>
      <c r="I592" t="s">
        <v>1391</v>
      </c>
      <c r="J592">
        <v>7.125</v>
      </c>
      <c r="K592" t="s">
        <v>22</v>
      </c>
      <c r="L592" t="s">
        <v>208</v>
      </c>
    </row>
    <row r="593" spans="1:12" x14ac:dyDescent="0.3">
      <c r="A593">
        <v>592</v>
      </c>
      <c r="B593">
        <v>1</v>
      </c>
      <c r="C593">
        <v>1</v>
      </c>
      <c r="D593" t="s">
        <v>1392</v>
      </c>
      <c r="E593" t="s">
        <v>210</v>
      </c>
      <c r="F593">
        <v>52</v>
      </c>
      <c r="G593">
        <v>1</v>
      </c>
      <c r="H593">
        <v>0</v>
      </c>
      <c r="I593" t="s">
        <v>1209</v>
      </c>
      <c r="J593">
        <v>78.2667</v>
      </c>
      <c r="K593" t="s">
        <v>1210</v>
      </c>
      <c r="L593" t="s">
        <v>213</v>
      </c>
    </row>
    <row r="594" spans="1:12" x14ac:dyDescent="0.3">
      <c r="A594">
        <v>593</v>
      </c>
      <c r="B594">
        <v>0</v>
      </c>
      <c r="C594">
        <v>3</v>
      </c>
      <c r="D594" t="s">
        <v>1393</v>
      </c>
      <c r="E594" t="s">
        <v>206</v>
      </c>
      <c r="F594">
        <v>47</v>
      </c>
      <c r="G594">
        <v>0</v>
      </c>
      <c r="H594">
        <v>0</v>
      </c>
      <c r="I594" t="s">
        <v>1394</v>
      </c>
      <c r="J594">
        <v>7.25</v>
      </c>
      <c r="K594" t="s">
        <v>22</v>
      </c>
      <c r="L594" t="s">
        <v>208</v>
      </c>
    </row>
    <row r="595" spans="1:12" x14ac:dyDescent="0.3">
      <c r="A595">
        <v>594</v>
      </c>
      <c r="B595">
        <v>0</v>
      </c>
      <c r="C595">
        <v>3</v>
      </c>
      <c r="D595" t="s">
        <v>1395</v>
      </c>
      <c r="E595" t="s">
        <v>210</v>
      </c>
      <c r="G595">
        <v>0</v>
      </c>
      <c r="H595">
        <v>2</v>
      </c>
      <c r="I595" t="s">
        <v>1396</v>
      </c>
      <c r="J595">
        <v>7.75</v>
      </c>
      <c r="K595" t="s">
        <v>22</v>
      </c>
      <c r="L595" t="s">
        <v>223</v>
      </c>
    </row>
    <row r="596" spans="1:12" x14ac:dyDescent="0.3">
      <c r="A596">
        <v>595</v>
      </c>
      <c r="B596">
        <v>0</v>
      </c>
      <c r="C596">
        <v>2</v>
      </c>
      <c r="D596" t="s">
        <v>1397</v>
      </c>
      <c r="E596" t="s">
        <v>206</v>
      </c>
      <c r="F596">
        <v>37</v>
      </c>
      <c r="G596">
        <v>1</v>
      </c>
      <c r="H596">
        <v>0</v>
      </c>
      <c r="I596" t="s">
        <v>1398</v>
      </c>
      <c r="J596">
        <v>26</v>
      </c>
      <c r="K596" t="s">
        <v>22</v>
      </c>
      <c r="L596" t="s">
        <v>208</v>
      </c>
    </row>
    <row r="597" spans="1:12" x14ac:dyDescent="0.3">
      <c r="A597">
        <v>596</v>
      </c>
      <c r="B597">
        <v>0</v>
      </c>
      <c r="C597">
        <v>3</v>
      </c>
      <c r="D597" t="s">
        <v>1399</v>
      </c>
      <c r="E597" t="s">
        <v>206</v>
      </c>
      <c r="F597">
        <v>36</v>
      </c>
      <c r="G597">
        <v>1</v>
      </c>
      <c r="H597">
        <v>1</v>
      </c>
      <c r="I597" t="s">
        <v>1060</v>
      </c>
      <c r="J597">
        <v>24.15</v>
      </c>
      <c r="K597" t="s">
        <v>22</v>
      </c>
      <c r="L597" t="s">
        <v>208</v>
      </c>
    </row>
    <row r="598" spans="1:12" x14ac:dyDescent="0.3">
      <c r="A598">
        <v>597</v>
      </c>
      <c r="B598">
        <v>1</v>
      </c>
      <c r="C598">
        <v>2</v>
      </c>
      <c r="D598" t="s">
        <v>1400</v>
      </c>
      <c r="E598" t="s">
        <v>210</v>
      </c>
      <c r="G598">
        <v>0</v>
      </c>
      <c r="H598">
        <v>0</v>
      </c>
      <c r="I598" t="s">
        <v>1401</v>
      </c>
      <c r="J598">
        <v>33</v>
      </c>
      <c r="K598" t="s">
        <v>22</v>
      </c>
      <c r="L598" t="s">
        <v>208</v>
      </c>
    </row>
    <row r="599" spans="1:12" x14ac:dyDescent="0.3">
      <c r="A599">
        <v>598</v>
      </c>
      <c r="B599">
        <v>0</v>
      </c>
      <c r="C599">
        <v>3</v>
      </c>
      <c r="D599" t="s">
        <v>1402</v>
      </c>
      <c r="E599" t="s">
        <v>206</v>
      </c>
      <c r="F599">
        <v>49</v>
      </c>
      <c r="G599">
        <v>0</v>
      </c>
      <c r="H599">
        <v>0</v>
      </c>
      <c r="I599" t="s">
        <v>585</v>
      </c>
      <c r="J599">
        <v>0</v>
      </c>
      <c r="K599" t="s">
        <v>22</v>
      </c>
      <c r="L599" t="s">
        <v>208</v>
      </c>
    </row>
    <row r="600" spans="1:12" x14ac:dyDescent="0.3">
      <c r="A600">
        <v>599</v>
      </c>
      <c r="B600">
        <v>0</v>
      </c>
      <c r="C600">
        <v>3</v>
      </c>
      <c r="D600" t="s">
        <v>1403</v>
      </c>
      <c r="E600" t="s">
        <v>206</v>
      </c>
      <c r="G600">
        <v>0</v>
      </c>
      <c r="H600">
        <v>0</v>
      </c>
      <c r="I600" t="s">
        <v>1404</v>
      </c>
      <c r="J600">
        <v>7.2249999999999996</v>
      </c>
      <c r="K600" t="s">
        <v>22</v>
      </c>
      <c r="L600" t="s">
        <v>213</v>
      </c>
    </row>
    <row r="601" spans="1:12" x14ac:dyDescent="0.3">
      <c r="A601">
        <v>600</v>
      </c>
      <c r="B601">
        <v>1</v>
      </c>
      <c r="C601">
        <v>1</v>
      </c>
      <c r="D601" t="s">
        <v>1405</v>
      </c>
      <c r="E601" t="s">
        <v>206</v>
      </c>
      <c r="F601">
        <v>49</v>
      </c>
      <c r="G601">
        <v>1</v>
      </c>
      <c r="H601">
        <v>0</v>
      </c>
      <c r="I601" t="s">
        <v>851</v>
      </c>
      <c r="J601">
        <v>56.929200000000002</v>
      </c>
      <c r="K601" t="s">
        <v>1406</v>
      </c>
      <c r="L601" t="s">
        <v>213</v>
      </c>
    </row>
    <row r="602" spans="1:12" x14ac:dyDescent="0.3">
      <c r="A602">
        <v>601</v>
      </c>
      <c r="B602">
        <v>1</v>
      </c>
      <c r="C602">
        <v>2</v>
      </c>
      <c r="D602" t="s">
        <v>1407</v>
      </c>
      <c r="E602" t="s">
        <v>210</v>
      </c>
      <c r="F602">
        <v>24</v>
      </c>
      <c r="G602">
        <v>2</v>
      </c>
      <c r="H602">
        <v>1</v>
      </c>
      <c r="I602" t="s">
        <v>661</v>
      </c>
      <c r="J602">
        <v>27</v>
      </c>
      <c r="K602" t="s">
        <v>22</v>
      </c>
      <c r="L602" t="s">
        <v>208</v>
      </c>
    </row>
    <row r="603" spans="1:12" x14ac:dyDescent="0.3">
      <c r="A603">
        <v>602</v>
      </c>
      <c r="B603">
        <v>0</v>
      </c>
      <c r="C603">
        <v>3</v>
      </c>
      <c r="D603" t="s">
        <v>1408</v>
      </c>
      <c r="E603" t="s">
        <v>206</v>
      </c>
      <c r="G603">
        <v>0</v>
      </c>
      <c r="H603">
        <v>0</v>
      </c>
      <c r="I603" t="s">
        <v>1409</v>
      </c>
      <c r="J603">
        <v>7.8958000000000004</v>
      </c>
      <c r="K603" t="s">
        <v>22</v>
      </c>
      <c r="L603" t="s">
        <v>208</v>
      </c>
    </row>
    <row r="604" spans="1:12" x14ac:dyDescent="0.3">
      <c r="A604">
        <v>603</v>
      </c>
      <c r="B604">
        <v>0</v>
      </c>
      <c r="C604">
        <v>1</v>
      </c>
      <c r="D604" t="s">
        <v>1410</v>
      </c>
      <c r="E604" t="s">
        <v>206</v>
      </c>
      <c r="G604">
        <v>0</v>
      </c>
      <c r="H604">
        <v>0</v>
      </c>
      <c r="I604" t="s">
        <v>1411</v>
      </c>
      <c r="J604">
        <v>42.4</v>
      </c>
      <c r="K604" t="s">
        <v>22</v>
      </c>
      <c r="L604" t="s">
        <v>208</v>
      </c>
    </row>
    <row r="605" spans="1:12" x14ac:dyDescent="0.3">
      <c r="A605">
        <v>604</v>
      </c>
      <c r="B605">
        <v>0</v>
      </c>
      <c r="C605">
        <v>3</v>
      </c>
      <c r="D605" t="s">
        <v>1412</v>
      </c>
      <c r="E605" t="s">
        <v>206</v>
      </c>
      <c r="F605">
        <v>44</v>
      </c>
      <c r="G605">
        <v>0</v>
      </c>
      <c r="H605">
        <v>0</v>
      </c>
      <c r="I605" t="s">
        <v>1413</v>
      </c>
      <c r="J605">
        <v>8.0500000000000007</v>
      </c>
      <c r="K605" t="s">
        <v>22</v>
      </c>
      <c r="L605" t="s">
        <v>208</v>
      </c>
    </row>
    <row r="606" spans="1:12" x14ac:dyDescent="0.3">
      <c r="A606">
        <v>605</v>
      </c>
      <c r="B606">
        <v>1</v>
      </c>
      <c r="C606">
        <v>1</v>
      </c>
      <c r="D606" t="s">
        <v>1414</v>
      </c>
      <c r="E606" t="s">
        <v>206</v>
      </c>
      <c r="F606">
        <v>35</v>
      </c>
      <c r="G606">
        <v>0</v>
      </c>
      <c r="H606">
        <v>0</v>
      </c>
      <c r="I606" t="s">
        <v>1415</v>
      </c>
      <c r="J606">
        <v>26.55</v>
      </c>
      <c r="K606" t="s">
        <v>22</v>
      </c>
      <c r="L606" t="s">
        <v>213</v>
      </c>
    </row>
    <row r="607" spans="1:12" x14ac:dyDescent="0.3">
      <c r="A607">
        <v>606</v>
      </c>
      <c r="B607">
        <v>0</v>
      </c>
      <c r="C607">
        <v>3</v>
      </c>
      <c r="D607" t="s">
        <v>1416</v>
      </c>
      <c r="E607" t="s">
        <v>206</v>
      </c>
      <c r="F607">
        <v>36</v>
      </c>
      <c r="G607">
        <v>1</v>
      </c>
      <c r="H607">
        <v>0</v>
      </c>
      <c r="I607" t="s">
        <v>1417</v>
      </c>
      <c r="J607">
        <v>15.55</v>
      </c>
      <c r="K607" t="s">
        <v>22</v>
      </c>
      <c r="L607" t="s">
        <v>208</v>
      </c>
    </row>
    <row r="608" spans="1:12" x14ac:dyDescent="0.3">
      <c r="A608">
        <v>607</v>
      </c>
      <c r="B608">
        <v>0</v>
      </c>
      <c r="C608">
        <v>3</v>
      </c>
      <c r="D608" t="s">
        <v>1418</v>
      </c>
      <c r="E608" t="s">
        <v>206</v>
      </c>
      <c r="F608">
        <v>30</v>
      </c>
      <c r="G608">
        <v>0</v>
      </c>
      <c r="H608">
        <v>0</v>
      </c>
      <c r="I608" t="s">
        <v>1419</v>
      </c>
      <c r="J608">
        <v>7.8958000000000004</v>
      </c>
      <c r="K608" t="s">
        <v>22</v>
      </c>
      <c r="L608" t="s">
        <v>208</v>
      </c>
    </row>
    <row r="609" spans="1:12" x14ac:dyDescent="0.3">
      <c r="A609">
        <v>608</v>
      </c>
      <c r="B609">
        <v>1</v>
      </c>
      <c r="C609">
        <v>1</v>
      </c>
      <c r="D609" t="s">
        <v>1420</v>
      </c>
      <c r="E609" t="s">
        <v>206</v>
      </c>
      <c r="F609">
        <v>27</v>
      </c>
      <c r="G609">
        <v>0</v>
      </c>
      <c r="H609">
        <v>0</v>
      </c>
      <c r="I609" t="s">
        <v>1421</v>
      </c>
      <c r="J609">
        <v>30.5</v>
      </c>
      <c r="K609" t="s">
        <v>22</v>
      </c>
      <c r="L609" t="s">
        <v>208</v>
      </c>
    </row>
    <row r="610" spans="1:12" x14ac:dyDescent="0.3">
      <c r="A610">
        <v>609</v>
      </c>
      <c r="B610">
        <v>1</v>
      </c>
      <c r="C610">
        <v>2</v>
      </c>
      <c r="D610" t="s">
        <v>1422</v>
      </c>
      <c r="E610" t="s">
        <v>210</v>
      </c>
      <c r="F610">
        <v>22</v>
      </c>
      <c r="G610">
        <v>1</v>
      </c>
      <c r="H610">
        <v>2</v>
      </c>
      <c r="I610" t="s">
        <v>305</v>
      </c>
      <c r="J610">
        <v>41.5792</v>
      </c>
      <c r="K610" t="s">
        <v>22</v>
      </c>
      <c r="L610" t="s">
        <v>213</v>
      </c>
    </row>
    <row r="611" spans="1:12" x14ac:dyDescent="0.3">
      <c r="A611">
        <v>610</v>
      </c>
      <c r="B611">
        <v>1</v>
      </c>
      <c r="C611">
        <v>1</v>
      </c>
      <c r="D611" t="s">
        <v>1423</v>
      </c>
      <c r="E611" t="s">
        <v>210</v>
      </c>
      <c r="F611">
        <v>40</v>
      </c>
      <c r="G611">
        <v>0</v>
      </c>
      <c r="H611">
        <v>0</v>
      </c>
      <c r="I611" t="s">
        <v>764</v>
      </c>
      <c r="J611">
        <v>153.46250000000001</v>
      </c>
      <c r="K611" t="s">
        <v>765</v>
      </c>
      <c r="L611" t="s">
        <v>208</v>
      </c>
    </row>
    <row r="612" spans="1:12" x14ac:dyDescent="0.3">
      <c r="A612">
        <v>611</v>
      </c>
      <c r="B612">
        <v>0</v>
      </c>
      <c r="C612">
        <v>3</v>
      </c>
      <c r="D612" t="s">
        <v>1424</v>
      </c>
      <c r="E612" t="s">
        <v>210</v>
      </c>
      <c r="F612">
        <v>39</v>
      </c>
      <c r="G612">
        <v>1</v>
      </c>
      <c r="H612">
        <v>5</v>
      </c>
      <c r="I612" t="s">
        <v>242</v>
      </c>
      <c r="J612">
        <v>31.274999999999999</v>
      </c>
      <c r="K612" t="s">
        <v>22</v>
      </c>
      <c r="L612" t="s">
        <v>208</v>
      </c>
    </row>
    <row r="613" spans="1:12" x14ac:dyDescent="0.3">
      <c r="A613">
        <v>612</v>
      </c>
      <c r="B613">
        <v>0</v>
      </c>
      <c r="C613">
        <v>3</v>
      </c>
      <c r="D613" t="s">
        <v>1425</v>
      </c>
      <c r="E613" t="s">
        <v>206</v>
      </c>
      <c r="G613">
        <v>0</v>
      </c>
      <c r="H613">
        <v>0</v>
      </c>
      <c r="I613" t="s">
        <v>1426</v>
      </c>
      <c r="J613">
        <v>7.05</v>
      </c>
      <c r="K613" t="s">
        <v>22</v>
      </c>
      <c r="L613" t="s">
        <v>208</v>
      </c>
    </row>
    <row r="614" spans="1:12" x14ac:dyDescent="0.3">
      <c r="A614">
        <v>613</v>
      </c>
      <c r="B614">
        <v>1</v>
      </c>
      <c r="C614">
        <v>3</v>
      </c>
      <c r="D614" t="s">
        <v>1427</v>
      </c>
      <c r="E614" t="s">
        <v>210</v>
      </c>
      <c r="G614">
        <v>1</v>
      </c>
      <c r="H614">
        <v>0</v>
      </c>
      <c r="I614" t="s">
        <v>707</v>
      </c>
      <c r="J614">
        <v>15.5</v>
      </c>
      <c r="K614" t="s">
        <v>22</v>
      </c>
      <c r="L614" t="s">
        <v>223</v>
      </c>
    </row>
    <row r="615" spans="1:12" x14ac:dyDescent="0.3">
      <c r="A615">
        <v>614</v>
      </c>
      <c r="B615">
        <v>0</v>
      </c>
      <c r="C615">
        <v>3</v>
      </c>
      <c r="D615" t="s">
        <v>1428</v>
      </c>
      <c r="E615" t="s">
        <v>206</v>
      </c>
      <c r="G615">
        <v>0</v>
      </c>
      <c r="H615">
        <v>0</v>
      </c>
      <c r="I615" t="s">
        <v>1429</v>
      </c>
      <c r="J615">
        <v>7.75</v>
      </c>
      <c r="K615" t="s">
        <v>22</v>
      </c>
      <c r="L615" t="s">
        <v>223</v>
      </c>
    </row>
    <row r="616" spans="1:12" x14ac:dyDescent="0.3">
      <c r="A616">
        <v>615</v>
      </c>
      <c r="B616">
        <v>0</v>
      </c>
      <c r="C616">
        <v>3</v>
      </c>
      <c r="D616" t="s">
        <v>1430</v>
      </c>
      <c r="E616" t="s">
        <v>206</v>
      </c>
      <c r="F616">
        <v>35</v>
      </c>
      <c r="G616">
        <v>0</v>
      </c>
      <c r="H616">
        <v>0</v>
      </c>
      <c r="I616" t="s">
        <v>1431</v>
      </c>
      <c r="J616">
        <v>8.0500000000000007</v>
      </c>
      <c r="K616" t="s">
        <v>22</v>
      </c>
      <c r="L616" t="s">
        <v>208</v>
      </c>
    </row>
    <row r="617" spans="1:12" x14ac:dyDescent="0.3">
      <c r="A617">
        <v>616</v>
      </c>
      <c r="B617">
        <v>1</v>
      </c>
      <c r="C617">
        <v>2</v>
      </c>
      <c r="D617" t="s">
        <v>1432</v>
      </c>
      <c r="E617" t="s">
        <v>210</v>
      </c>
      <c r="F617">
        <v>24</v>
      </c>
      <c r="G617">
        <v>1</v>
      </c>
      <c r="H617">
        <v>2</v>
      </c>
      <c r="I617" t="s">
        <v>1433</v>
      </c>
      <c r="J617">
        <v>65</v>
      </c>
      <c r="K617" t="s">
        <v>22</v>
      </c>
      <c r="L617" t="s">
        <v>208</v>
      </c>
    </row>
    <row r="618" spans="1:12" x14ac:dyDescent="0.3">
      <c r="A618">
        <v>617</v>
      </c>
      <c r="B618">
        <v>0</v>
      </c>
      <c r="C618">
        <v>3</v>
      </c>
      <c r="D618" t="s">
        <v>1434</v>
      </c>
      <c r="E618" t="s">
        <v>206</v>
      </c>
      <c r="F618">
        <v>34</v>
      </c>
      <c r="G618">
        <v>1</v>
      </c>
      <c r="H618">
        <v>1</v>
      </c>
      <c r="I618" t="s">
        <v>1068</v>
      </c>
      <c r="J618">
        <v>14.4</v>
      </c>
      <c r="K618" t="s">
        <v>22</v>
      </c>
      <c r="L618" t="s">
        <v>208</v>
      </c>
    </row>
    <row r="619" spans="1:12" x14ac:dyDescent="0.3">
      <c r="A619">
        <v>618</v>
      </c>
      <c r="B619">
        <v>0</v>
      </c>
      <c r="C619">
        <v>3</v>
      </c>
      <c r="D619" t="s">
        <v>1435</v>
      </c>
      <c r="E619" t="s">
        <v>210</v>
      </c>
      <c r="F619">
        <v>26</v>
      </c>
      <c r="G619">
        <v>1</v>
      </c>
      <c r="H619">
        <v>0</v>
      </c>
      <c r="I619" t="s">
        <v>733</v>
      </c>
      <c r="J619">
        <v>16.100000000000001</v>
      </c>
      <c r="K619" t="s">
        <v>22</v>
      </c>
      <c r="L619" t="s">
        <v>208</v>
      </c>
    </row>
    <row r="620" spans="1:12" x14ac:dyDescent="0.3">
      <c r="A620">
        <v>619</v>
      </c>
      <c r="B620">
        <v>1</v>
      </c>
      <c r="C620">
        <v>2</v>
      </c>
      <c r="D620" t="s">
        <v>1436</v>
      </c>
      <c r="E620" t="s">
        <v>210</v>
      </c>
      <c r="F620">
        <v>4</v>
      </c>
      <c r="G620">
        <v>2</v>
      </c>
      <c r="H620">
        <v>1</v>
      </c>
      <c r="I620" t="s">
        <v>591</v>
      </c>
      <c r="J620">
        <v>39</v>
      </c>
      <c r="K620" t="s">
        <v>592</v>
      </c>
      <c r="L620" t="s">
        <v>208</v>
      </c>
    </row>
    <row r="621" spans="1:12" x14ac:dyDescent="0.3">
      <c r="A621">
        <v>620</v>
      </c>
      <c r="B621">
        <v>0</v>
      </c>
      <c r="C621">
        <v>2</v>
      </c>
      <c r="D621" t="s">
        <v>1437</v>
      </c>
      <c r="E621" t="s">
        <v>206</v>
      </c>
      <c r="F621">
        <v>26</v>
      </c>
      <c r="G621">
        <v>0</v>
      </c>
      <c r="H621">
        <v>0</v>
      </c>
      <c r="I621" t="s">
        <v>1438</v>
      </c>
      <c r="J621">
        <v>10.5</v>
      </c>
      <c r="K621" t="s">
        <v>22</v>
      </c>
      <c r="L621" t="s">
        <v>208</v>
      </c>
    </row>
    <row r="622" spans="1:12" x14ac:dyDescent="0.3">
      <c r="A622">
        <v>621</v>
      </c>
      <c r="B622">
        <v>0</v>
      </c>
      <c r="C622">
        <v>3</v>
      </c>
      <c r="D622" t="s">
        <v>1439</v>
      </c>
      <c r="E622" t="s">
        <v>206</v>
      </c>
      <c r="F622">
        <v>27</v>
      </c>
      <c r="G622">
        <v>1</v>
      </c>
      <c r="H622">
        <v>0</v>
      </c>
      <c r="I622" t="s">
        <v>1440</v>
      </c>
      <c r="J622">
        <v>14.4542</v>
      </c>
      <c r="K622" t="s">
        <v>22</v>
      </c>
      <c r="L622" t="s">
        <v>213</v>
      </c>
    </row>
    <row r="623" spans="1:12" x14ac:dyDescent="0.3">
      <c r="A623">
        <v>622</v>
      </c>
      <c r="B623">
        <v>1</v>
      </c>
      <c r="C623">
        <v>1</v>
      </c>
      <c r="D623" t="s">
        <v>1441</v>
      </c>
      <c r="E623" t="s">
        <v>206</v>
      </c>
      <c r="F623">
        <v>42</v>
      </c>
      <c r="G623">
        <v>1</v>
      </c>
      <c r="H623">
        <v>0</v>
      </c>
      <c r="I623" t="s">
        <v>1442</v>
      </c>
      <c r="J623">
        <v>52.554200000000002</v>
      </c>
      <c r="K623" t="s">
        <v>1443</v>
      </c>
      <c r="L623" t="s">
        <v>208</v>
      </c>
    </row>
    <row r="624" spans="1:12" x14ac:dyDescent="0.3">
      <c r="A624">
        <v>623</v>
      </c>
      <c r="B624">
        <v>1</v>
      </c>
      <c r="C624">
        <v>3</v>
      </c>
      <c r="D624" t="s">
        <v>1444</v>
      </c>
      <c r="E624" t="s">
        <v>206</v>
      </c>
      <c r="F624">
        <v>20</v>
      </c>
      <c r="G624">
        <v>1</v>
      </c>
      <c r="H624">
        <v>1</v>
      </c>
      <c r="I624" t="s">
        <v>992</v>
      </c>
      <c r="J624">
        <v>15.7417</v>
      </c>
      <c r="K624" t="s">
        <v>22</v>
      </c>
      <c r="L624" t="s">
        <v>213</v>
      </c>
    </row>
    <row r="625" spans="1:12" x14ac:dyDescent="0.3">
      <c r="A625">
        <v>624</v>
      </c>
      <c r="B625">
        <v>0</v>
      </c>
      <c r="C625">
        <v>3</v>
      </c>
      <c r="D625" t="s">
        <v>1445</v>
      </c>
      <c r="E625" t="s">
        <v>206</v>
      </c>
      <c r="F625">
        <v>21</v>
      </c>
      <c r="G625">
        <v>0</v>
      </c>
      <c r="H625">
        <v>0</v>
      </c>
      <c r="I625" t="s">
        <v>1446</v>
      </c>
      <c r="J625">
        <v>7.8541999999999996</v>
      </c>
      <c r="K625" t="s">
        <v>22</v>
      </c>
      <c r="L625" t="s">
        <v>208</v>
      </c>
    </row>
    <row r="626" spans="1:12" x14ac:dyDescent="0.3">
      <c r="A626">
        <v>625</v>
      </c>
      <c r="B626">
        <v>0</v>
      </c>
      <c r="C626">
        <v>3</v>
      </c>
      <c r="D626" t="s">
        <v>1447</v>
      </c>
      <c r="E626" t="s">
        <v>206</v>
      </c>
      <c r="F626">
        <v>21</v>
      </c>
      <c r="G626">
        <v>0</v>
      </c>
      <c r="H626">
        <v>0</v>
      </c>
      <c r="I626" t="s">
        <v>1448</v>
      </c>
      <c r="J626">
        <v>16.100000000000001</v>
      </c>
      <c r="K626" t="s">
        <v>22</v>
      </c>
      <c r="L626" t="s">
        <v>208</v>
      </c>
    </row>
    <row r="627" spans="1:12" x14ac:dyDescent="0.3">
      <c r="A627">
        <v>626</v>
      </c>
      <c r="B627">
        <v>0</v>
      </c>
      <c r="C627">
        <v>1</v>
      </c>
      <c r="D627" t="s">
        <v>1449</v>
      </c>
      <c r="E627" t="s">
        <v>206</v>
      </c>
      <c r="F627">
        <v>61</v>
      </c>
      <c r="G627">
        <v>0</v>
      </c>
      <c r="H627">
        <v>0</v>
      </c>
      <c r="I627" t="s">
        <v>1450</v>
      </c>
      <c r="J627">
        <v>32.320799999999998</v>
      </c>
      <c r="K627" t="s">
        <v>1451</v>
      </c>
      <c r="L627" t="s">
        <v>208</v>
      </c>
    </row>
    <row r="628" spans="1:12" x14ac:dyDescent="0.3">
      <c r="A628">
        <v>627</v>
      </c>
      <c r="B628">
        <v>0</v>
      </c>
      <c r="C628">
        <v>2</v>
      </c>
      <c r="D628" t="s">
        <v>1452</v>
      </c>
      <c r="E628" t="s">
        <v>206</v>
      </c>
      <c r="F628">
        <v>57</v>
      </c>
      <c r="G628">
        <v>0</v>
      </c>
      <c r="H628">
        <v>0</v>
      </c>
      <c r="I628" t="s">
        <v>1453</v>
      </c>
      <c r="J628">
        <v>12.35</v>
      </c>
      <c r="K628" t="s">
        <v>22</v>
      </c>
      <c r="L628" t="s">
        <v>223</v>
      </c>
    </row>
    <row r="629" spans="1:12" x14ac:dyDescent="0.3">
      <c r="A629">
        <v>628</v>
      </c>
      <c r="B629">
        <v>1</v>
      </c>
      <c r="C629">
        <v>1</v>
      </c>
      <c r="D629" t="s">
        <v>1454</v>
      </c>
      <c r="E629" t="s">
        <v>210</v>
      </c>
      <c r="F629">
        <v>21</v>
      </c>
      <c r="G629">
        <v>0</v>
      </c>
      <c r="H629">
        <v>0</v>
      </c>
      <c r="I629" t="s">
        <v>780</v>
      </c>
      <c r="J629">
        <v>77.958299999999994</v>
      </c>
      <c r="K629" t="s">
        <v>1455</v>
      </c>
      <c r="L629" t="s">
        <v>208</v>
      </c>
    </row>
    <row r="630" spans="1:12" x14ac:dyDescent="0.3">
      <c r="A630">
        <v>629</v>
      </c>
      <c r="B630">
        <v>0</v>
      </c>
      <c r="C630">
        <v>3</v>
      </c>
      <c r="D630" t="s">
        <v>1456</v>
      </c>
      <c r="E630" t="s">
        <v>206</v>
      </c>
      <c r="F630">
        <v>26</v>
      </c>
      <c r="G630">
        <v>0</v>
      </c>
      <c r="H630">
        <v>0</v>
      </c>
      <c r="I630" t="s">
        <v>1457</v>
      </c>
      <c r="J630">
        <v>7.8958000000000004</v>
      </c>
      <c r="K630" t="s">
        <v>22</v>
      </c>
      <c r="L630" t="s">
        <v>208</v>
      </c>
    </row>
    <row r="631" spans="1:12" x14ac:dyDescent="0.3">
      <c r="A631">
        <v>630</v>
      </c>
      <c r="B631">
        <v>0</v>
      </c>
      <c r="C631">
        <v>3</v>
      </c>
      <c r="D631" t="s">
        <v>1458</v>
      </c>
      <c r="E631" t="s">
        <v>206</v>
      </c>
      <c r="G631">
        <v>0</v>
      </c>
      <c r="H631">
        <v>0</v>
      </c>
      <c r="I631" t="s">
        <v>1459</v>
      </c>
      <c r="J631">
        <v>7.7332999999999998</v>
      </c>
      <c r="K631" t="s">
        <v>22</v>
      </c>
      <c r="L631" t="s">
        <v>223</v>
      </c>
    </row>
    <row r="632" spans="1:12" x14ac:dyDescent="0.3">
      <c r="A632">
        <v>631</v>
      </c>
      <c r="B632">
        <v>1</v>
      </c>
      <c r="C632">
        <v>1</v>
      </c>
      <c r="D632" t="s">
        <v>1460</v>
      </c>
      <c r="E632" t="s">
        <v>206</v>
      </c>
      <c r="F632">
        <v>80</v>
      </c>
      <c r="G632">
        <v>0</v>
      </c>
      <c r="H632">
        <v>0</v>
      </c>
      <c r="I632" t="s">
        <v>1461</v>
      </c>
      <c r="J632">
        <v>30</v>
      </c>
      <c r="K632" t="s">
        <v>1462</v>
      </c>
      <c r="L632" t="s">
        <v>208</v>
      </c>
    </row>
    <row r="633" spans="1:12" x14ac:dyDescent="0.3">
      <c r="A633">
        <v>632</v>
      </c>
      <c r="B633">
        <v>0</v>
      </c>
      <c r="C633">
        <v>3</v>
      </c>
      <c r="D633" t="s">
        <v>1463</v>
      </c>
      <c r="E633" t="s">
        <v>206</v>
      </c>
      <c r="F633">
        <v>51</v>
      </c>
      <c r="G633">
        <v>0</v>
      </c>
      <c r="H633">
        <v>0</v>
      </c>
      <c r="I633" t="s">
        <v>1464</v>
      </c>
      <c r="J633">
        <v>7.0541999999999998</v>
      </c>
      <c r="K633" t="s">
        <v>22</v>
      </c>
      <c r="L633" t="s">
        <v>208</v>
      </c>
    </row>
    <row r="634" spans="1:12" x14ac:dyDescent="0.3">
      <c r="A634">
        <v>633</v>
      </c>
      <c r="B634">
        <v>1</v>
      </c>
      <c r="C634">
        <v>1</v>
      </c>
      <c r="D634" t="s">
        <v>1465</v>
      </c>
      <c r="E634" t="s">
        <v>206</v>
      </c>
      <c r="F634">
        <v>32</v>
      </c>
      <c r="G634">
        <v>0</v>
      </c>
      <c r="H634">
        <v>0</v>
      </c>
      <c r="I634" t="s">
        <v>1466</v>
      </c>
      <c r="J634">
        <v>30.5</v>
      </c>
      <c r="K634" t="s">
        <v>1467</v>
      </c>
      <c r="L634" t="s">
        <v>213</v>
      </c>
    </row>
    <row r="635" spans="1:12" x14ac:dyDescent="0.3">
      <c r="A635">
        <v>634</v>
      </c>
      <c r="B635">
        <v>0</v>
      </c>
      <c r="C635">
        <v>1</v>
      </c>
      <c r="D635" t="s">
        <v>1468</v>
      </c>
      <c r="E635" t="s">
        <v>206</v>
      </c>
      <c r="G635">
        <v>0</v>
      </c>
      <c r="H635">
        <v>0</v>
      </c>
      <c r="I635" t="s">
        <v>1469</v>
      </c>
      <c r="J635">
        <v>0</v>
      </c>
      <c r="K635" t="s">
        <v>22</v>
      </c>
      <c r="L635" t="s">
        <v>208</v>
      </c>
    </row>
    <row r="636" spans="1:12" x14ac:dyDescent="0.3">
      <c r="A636">
        <v>635</v>
      </c>
      <c r="B636">
        <v>0</v>
      </c>
      <c r="C636">
        <v>3</v>
      </c>
      <c r="D636" t="s">
        <v>1470</v>
      </c>
      <c r="E636" t="s">
        <v>210</v>
      </c>
      <c r="F636">
        <v>9</v>
      </c>
      <c r="G636">
        <v>3</v>
      </c>
      <c r="H636">
        <v>2</v>
      </c>
      <c r="I636" t="s">
        <v>350</v>
      </c>
      <c r="J636">
        <v>27.9</v>
      </c>
      <c r="K636" t="s">
        <v>22</v>
      </c>
      <c r="L636" t="s">
        <v>208</v>
      </c>
    </row>
    <row r="637" spans="1:12" x14ac:dyDescent="0.3">
      <c r="A637">
        <v>636</v>
      </c>
      <c r="B637">
        <v>1</v>
      </c>
      <c r="C637">
        <v>2</v>
      </c>
      <c r="D637" t="s">
        <v>1471</v>
      </c>
      <c r="E637" t="s">
        <v>210</v>
      </c>
      <c r="F637">
        <v>28</v>
      </c>
      <c r="G637">
        <v>0</v>
      </c>
      <c r="H637">
        <v>0</v>
      </c>
      <c r="I637" t="s">
        <v>1472</v>
      </c>
      <c r="J637">
        <v>13</v>
      </c>
      <c r="K637" t="s">
        <v>22</v>
      </c>
      <c r="L637" t="s">
        <v>208</v>
      </c>
    </row>
    <row r="638" spans="1:12" x14ac:dyDescent="0.3">
      <c r="A638">
        <v>637</v>
      </c>
      <c r="B638">
        <v>0</v>
      </c>
      <c r="C638">
        <v>3</v>
      </c>
      <c r="D638" t="s">
        <v>1473</v>
      </c>
      <c r="E638" t="s">
        <v>206</v>
      </c>
      <c r="F638">
        <v>32</v>
      </c>
      <c r="G638">
        <v>0</v>
      </c>
      <c r="H638">
        <v>0</v>
      </c>
      <c r="I638" t="s">
        <v>1474</v>
      </c>
      <c r="J638">
        <v>7.9249999999999998</v>
      </c>
      <c r="K638" t="s">
        <v>22</v>
      </c>
      <c r="L638" t="s">
        <v>208</v>
      </c>
    </row>
    <row r="639" spans="1:12" x14ac:dyDescent="0.3">
      <c r="A639">
        <v>638</v>
      </c>
      <c r="B639">
        <v>0</v>
      </c>
      <c r="C639">
        <v>2</v>
      </c>
      <c r="D639" t="s">
        <v>1475</v>
      </c>
      <c r="E639" t="s">
        <v>206</v>
      </c>
      <c r="F639">
        <v>31</v>
      </c>
      <c r="G639">
        <v>1</v>
      </c>
      <c r="H639">
        <v>1</v>
      </c>
      <c r="I639" t="s">
        <v>700</v>
      </c>
      <c r="J639">
        <v>26.25</v>
      </c>
      <c r="K639" t="s">
        <v>22</v>
      </c>
      <c r="L639" t="s">
        <v>208</v>
      </c>
    </row>
    <row r="640" spans="1:12" x14ac:dyDescent="0.3">
      <c r="A640">
        <v>639</v>
      </c>
      <c r="B640">
        <v>0</v>
      </c>
      <c r="C640">
        <v>3</v>
      </c>
      <c r="D640" t="s">
        <v>1476</v>
      </c>
      <c r="E640" t="s">
        <v>210</v>
      </c>
      <c r="F640">
        <v>41</v>
      </c>
      <c r="G640">
        <v>0</v>
      </c>
      <c r="H640">
        <v>5</v>
      </c>
      <c r="I640" t="s">
        <v>319</v>
      </c>
      <c r="J640">
        <v>39.6875</v>
      </c>
      <c r="K640" t="s">
        <v>22</v>
      </c>
      <c r="L640" t="s">
        <v>208</v>
      </c>
    </row>
    <row r="641" spans="1:12" x14ac:dyDescent="0.3">
      <c r="A641">
        <v>640</v>
      </c>
      <c r="B641">
        <v>0</v>
      </c>
      <c r="C641">
        <v>3</v>
      </c>
      <c r="D641" t="s">
        <v>1477</v>
      </c>
      <c r="E641" t="s">
        <v>206</v>
      </c>
      <c r="G641">
        <v>1</v>
      </c>
      <c r="H641">
        <v>0</v>
      </c>
      <c r="I641" t="s">
        <v>1084</v>
      </c>
      <c r="J641">
        <v>16.100000000000001</v>
      </c>
      <c r="K641" t="s">
        <v>22</v>
      </c>
      <c r="L641" t="s">
        <v>208</v>
      </c>
    </row>
    <row r="642" spans="1:12" x14ac:dyDescent="0.3">
      <c r="A642">
        <v>641</v>
      </c>
      <c r="B642">
        <v>0</v>
      </c>
      <c r="C642">
        <v>3</v>
      </c>
      <c r="D642" t="s">
        <v>1478</v>
      </c>
      <c r="E642" t="s">
        <v>206</v>
      </c>
      <c r="F642">
        <v>20</v>
      </c>
      <c r="G642">
        <v>0</v>
      </c>
      <c r="H642">
        <v>0</v>
      </c>
      <c r="I642" t="s">
        <v>1479</v>
      </c>
      <c r="J642">
        <v>7.8541999999999996</v>
      </c>
      <c r="K642" t="s">
        <v>22</v>
      </c>
      <c r="L642" t="s">
        <v>208</v>
      </c>
    </row>
    <row r="643" spans="1:12" x14ac:dyDescent="0.3">
      <c r="A643">
        <v>642</v>
      </c>
      <c r="B643">
        <v>1</v>
      </c>
      <c r="C643">
        <v>1</v>
      </c>
      <c r="D643" t="s">
        <v>1480</v>
      </c>
      <c r="E643" t="s">
        <v>210</v>
      </c>
      <c r="F643">
        <v>24</v>
      </c>
      <c r="G643">
        <v>0</v>
      </c>
      <c r="H643">
        <v>0</v>
      </c>
      <c r="I643" t="s">
        <v>968</v>
      </c>
      <c r="J643">
        <v>69.3</v>
      </c>
      <c r="K643" t="s">
        <v>969</v>
      </c>
      <c r="L643" t="s">
        <v>213</v>
      </c>
    </row>
    <row r="644" spans="1:12" x14ac:dyDescent="0.3">
      <c r="A644">
        <v>643</v>
      </c>
      <c r="B644">
        <v>0</v>
      </c>
      <c r="C644">
        <v>3</v>
      </c>
      <c r="D644" t="s">
        <v>1481</v>
      </c>
      <c r="E644" t="s">
        <v>210</v>
      </c>
      <c r="F644">
        <v>2</v>
      </c>
      <c r="G644">
        <v>3</v>
      </c>
      <c r="H644">
        <v>2</v>
      </c>
      <c r="I644" t="s">
        <v>350</v>
      </c>
      <c r="J644">
        <v>27.9</v>
      </c>
      <c r="K644" t="s">
        <v>22</v>
      </c>
      <c r="L644" t="s">
        <v>208</v>
      </c>
    </row>
    <row r="645" spans="1:12" x14ac:dyDescent="0.3">
      <c r="A645">
        <v>644</v>
      </c>
      <c r="B645">
        <v>1</v>
      </c>
      <c r="C645">
        <v>3</v>
      </c>
      <c r="D645" t="s">
        <v>1482</v>
      </c>
      <c r="E645" t="s">
        <v>206</v>
      </c>
      <c r="G645">
        <v>0</v>
      </c>
      <c r="H645">
        <v>0</v>
      </c>
      <c r="I645" t="s">
        <v>372</v>
      </c>
      <c r="J645">
        <v>56.495800000000003</v>
      </c>
      <c r="K645" t="s">
        <v>22</v>
      </c>
      <c r="L645" t="s">
        <v>208</v>
      </c>
    </row>
    <row r="646" spans="1:12" x14ac:dyDescent="0.3">
      <c r="A646">
        <v>645</v>
      </c>
      <c r="B646">
        <v>1</v>
      </c>
      <c r="C646">
        <v>3</v>
      </c>
      <c r="D646" t="s">
        <v>1483</v>
      </c>
      <c r="E646" t="s">
        <v>210</v>
      </c>
      <c r="F646">
        <v>0.75</v>
      </c>
      <c r="G646">
        <v>2</v>
      </c>
      <c r="H646">
        <v>1</v>
      </c>
      <c r="I646" t="s">
        <v>1114</v>
      </c>
      <c r="J646">
        <v>19.258299999999998</v>
      </c>
      <c r="K646" t="s">
        <v>22</v>
      </c>
      <c r="L646" t="s">
        <v>213</v>
      </c>
    </row>
    <row r="647" spans="1:12" x14ac:dyDescent="0.3">
      <c r="A647">
        <v>646</v>
      </c>
      <c r="B647">
        <v>1</v>
      </c>
      <c r="C647">
        <v>1</v>
      </c>
      <c r="D647" t="s">
        <v>1484</v>
      </c>
      <c r="E647" t="s">
        <v>206</v>
      </c>
      <c r="F647">
        <v>48</v>
      </c>
      <c r="G647">
        <v>1</v>
      </c>
      <c r="H647">
        <v>0</v>
      </c>
      <c r="I647" t="s">
        <v>323</v>
      </c>
      <c r="J647">
        <v>76.729200000000006</v>
      </c>
      <c r="K647" t="s">
        <v>324</v>
      </c>
      <c r="L647" t="s">
        <v>213</v>
      </c>
    </row>
    <row r="648" spans="1:12" x14ac:dyDescent="0.3">
      <c r="A648">
        <v>647</v>
      </c>
      <c r="B648">
        <v>0</v>
      </c>
      <c r="C648">
        <v>3</v>
      </c>
      <c r="D648" t="s">
        <v>1485</v>
      </c>
      <c r="E648" t="s">
        <v>206</v>
      </c>
      <c r="F648">
        <v>19</v>
      </c>
      <c r="G648">
        <v>0</v>
      </c>
      <c r="H648">
        <v>0</v>
      </c>
      <c r="I648" t="s">
        <v>1486</v>
      </c>
      <c r="J648">
        <v>7.8958000000000004</v>
      </c>
      <c r="K648" t="s">
        <v>22</v>
      </c>
      <c r="L648" t="s">
        <v>208</v>
      </c>
    </row>
    <row r="649" spans="1:12" x14ac:dyDescent="0.3">
      <c r="A649">
        <v>648</v>
      </c>
      <c r="B649">
        <v>1</v>
      </c>
      <c r="C649">
        <v>1</v>
      </c>
      <c r="D649" t="s">
        <v>1487</v>
      </c>
      <c r="E649" t="s">
        <v>206</v>
      </c>
      <c r="F649">
        <v>56</v>
      </c>
      <c r="G649">
        <v>0</v>
      </c>
      <c r="H649">
        <v>0</v>
      </c>
      <c r="I649" t="s">
        <v>1488</v>
      </c>
      <c r="J649">
        <v>35.5</v>
      </c>
      <c r="K649" t="s">
        <v>1489</v>
      </c>
      <c r="L649" t="s">
        <v>213</v>
      </c>
    </row>
    <row r="650" spans="1:12" x14ac:dyDescent="0.3">
      <c r="A650">
        <v>649</v>
      </c>
      <c r="B650">
        <v>0</v>
      </c>
      <c r="C650">
        <v>3</v>
      </c>
      <c r="D650" t="s">
        <v>1490</v>
      </c>
      <c r="E650" t="s">
        <v>206</v>
      </c>
      <c r="G650">
        <v>0</v>
      </c>
      <c r="H650">
        <v>0</v>
      </c>
      <c r="I650" t="s">
        <v>1491</v>
      </c>
      <c r="J650">
        <v>7.55</v>
      </c>
      <c r="K650" t="s">
        <v>22</v>
      </c>
      <c r="L650" t="s">
        <v>208</v>
      </c>
    </row>
    <row r="651" spans="1:12" x14ac:dyDescent="0.3">
      <c r="A651">
        <v>650</v>
      </c>
      <c r="B651">
        <v>1</v>
      </c>
      <c r="C651">
        <v>3</v>
      </c>
      <c r="D651" t="s">
        <v>1492</v>
      </c>
      <c r="E651" t="s">
        <v>210</v>
      </c>
      <c r="F651">
        <v>23</v>
      </c>
      <c r="G651">
        <v>0</v>
      </c>
      <c r="H651">
        <v>0</v>
      </c>
      <c r="I651" t="s">
        <v>1493</v>
      </c>
      <c r="J651">
        <v>7.55</v>
      </c>
      <c r="K651" t="s">
        <v>22</v>
      </c>
      <c r="L651" t="s">
        <v>208</v>
      </c>
    </row>
    <row r="652" spans="1:12" x14ac:dyDescent="0.3">
      <c r="A652">
        <v>651</v>
      </c>
      <c r="B652">
        <v>0</v>
      </c>
      <c r="C652">
        <v>3</v>
      </c>
      <c r="D652" t="s">
        <v>1494</v>
      </c>
      <c r="E652" t="s">
        <v>206</v>
      </c>
      <c r="G652">
        <v>0</v>
      </c>
      <c r="H652">
        <v>0</v>
      </c>
      <c r="I652" t="s">
        <v>1495</v>
      </c>
      <c r="J652">
        <v>7.8958000000000004</v>
      </c>
      <c r="K652" t="s">
        <v>22</v>
      </c>
      <c r="L652" t="s">
        <v>208</v>
      </c>
    </row>
    <row r="653" spans="1:12" x14ac:dyDescent="0.3">
      <c r="A653">
        <v>652</v>
      </c>
      <c r="B653">
        <v>1</v>
      </c>
      <c r="C653">
        <v>2</v>
      </c>
      <c r="D653" t="s">
        <v>1496</v>
      </c>
      <c r="E653" t="s">
        <v>210</v>
      </c>
      <c r="F653">
        <v>18</v>
      </c>
      <c r="G653">
        <v>0</v>
      </c>
      <c r="H653">
        <v>1</v>
      </c>
      <c r="I653" t="s">
        <v>423</v>
      </c>
      <c r="J653">
        <v>23</v>
      </c>
      <c r="K653" t="s">
        <v>22</v>
      </c>
      <c r="L653" t="s">
        <v>208</v>
      </c>
    </row>
    <row r="654" spans="1:12" x14ac:dyDescent="0.3">
      <c r="A654">
        <v>653</v>
      </c>
      <c r="B654">
        <v>0</v>
      </c>
      <c r="C654">
        <v>3</v>
      </c>
      <c r="D654" t="s">
        <v>1497</v>
      </c>
      <c r="E654" t="s">
        <v>206</v>
      </c>
      <c r="F654">
        <v>21</v>
      </c>
      <c r="G654">
        <v>0</v>
      </c>
      <c r="H654">
        <v>0</v>
      </c>
      <c r="I654" t="s">
        <v>1498</v>
      </c>
      <c r="J654">
        <v>8.4332999999999991</v>
      </c>
      <c r="K654" t="s">
        <v>22</v>
      </c>
      <c r="L654" t="s">
        <v>208</v>
      </c>
    </row>
    <row r="655" spans="1:12" x14ac:dyDescent="0.3">
      <c r="A655">
        <v>654</v>
      </c>
      <c r="B655">
        <v>1</v>
      </c>
      <c r="C655">
        <v>3</v>
      </c>
      <c r="D655" t="s">
        <v>1499</v>
      </c>
      <c r="E655" t="s">
        <v>210</v>
      </c>
      <c r="G655">
        <v>0</v>
      </c>
      <c r="H655">
        <v>0</v>
      </c>
      <c r="I655" t="s">
        <v>1500</v>
      </c>
      <c r="J655">
        <v>7.8292000000000002</v>
      </c>
      <c r="K655" t="s">
        <v>22</v>
      </c>
      <c r="L655" t="s">
        <v>223</v>
      </c>
    </row>
    <row r="656" spans="1:12" x14ac:dyDescent="0.3">
      <c r="A656">
        <v>655</v>
      </c>
      <c r="B656">
        <v>0</v>
      </c>
      <c r="C656">
        <v>3</v>
      </c>
      <c r="D656" t="s">
        <v>1501</v>
      </c>
      <c r="E656" t="s">
        <v>210</v>
      </c>
      <c r="F656">
        <v>18</v>
      </c>
      <c r="G656">
        <v>0</v>
      </c>
      <c r="H656">
        <v>0</v>
      </c>
      <c r="I656" t="s">
        <v>1502</v>
      </c>
      <c r="J656">
        <v>6.75</v>
      </c>
      <c r="K656" t="s">
        <v>22</v>
      </c>
      <c r="L656" t="s">
        <v>223</v>
      </c>
    </row>
    <row r="657" spans="1:12" x14ac:dyDescent="0.3">
      <c r="A657">
        <v>656</v>
      </c>
      <c r="B657">
        <v>0</v>
      </c>
      <c r="C657">
        <v>2</v>
      </c>
      <c r="D657" t="s">
        <v>1503</v>
      </c>
      <c r="E657" t="s">
        <v>206</v>
      </c>
      <c r="F657">
        <v>24</v>
      </c>
      <c r="G657">
        <v>2</v>
      </c>
      <c r="H657">
        <v>0</v>
      </c>
      <c r="I657" t="s">
        <v>368</v>
      </c>
      <c r="J657">
        <v>73.5</v>
      </c>
      <c r="K657" t="s">
        <v>22</v>
      </c>
      <c r="L657" t="s">
        <v>208</v>
      </c>
    </row>
    <row r="658" spans="1:12" x14ac:dyDescent="0.3">
      <c r="A658">
        <v>657</v>
      </c>
      <c r="B658">
        <v>0</v>
      </c>
      <c r="C658">
        <v>3</v>
      </c>
      <c r="D658" t="s">
        <v>1504</v>
      </c>
      <c r="E658" t="s">
        <v>206</v>
      </c>
      <c r="G658">
        <v>0</v>
      </c>
      <c r="H658">
        <v>0</v>
      </c>
      <c r="I658" t="s">
        <v>1505</v>
      </c>
      <c r="J658">
        <v>7.8958000000000004</v>
      </c>
      <c r="K658" t="s">
        <v>22</v>
      </c>
      <c r="L658" t="s">
        <v>208</v>
      </c>
    </row>
    <row r="659" spans="1:12" x14ac:dyDescent="0.3">
      <c r="A659">
        <v>658</v>
      </c>
      <c r="B659">
        <v>0</v>
      </c>
      <c r="C659">
        <v>3</v>
      </c>
      <c r="D659" t="s">
        <v>1506</v>
      </c>
      <c r="E659" t="s">
        <v>210</v>
      </c>
      <c r="F659">
        <v>32</v>
      </c>
      <c r="G659">
        <v>1</v>
      </c>
      <c r="H659">
        <v>1</v>
      </c>
      <c r="I659" t="s">
        <v>603</v>
      </c>
      <c r="J659">
        <v>15.5</v>
      </c>
      <c r="K659" t="s">
        <v>22</v>
      </c>
      <c r="L659" t="s">
        <v>223</v>
      </c>
    </row>
    <row r="660" spans="1:12" x14ac:dyDescent="0.3">
      <c r="A660">
        <v>659</v>
      </c>
      <c r="B660">
        <v>0</v>
      </c>
      <c r="C660">
        <v>2</v>
      </c>
      <c r="D660" t="s">
        <v>1507</v>
      </c>
      <c r="E660" t="s">
        <v>206</v>
      </c>
      <c r="F660">
        <v>23</v>
      </c>
      <c r="G660">
        <v>0</v>
      </c>
      <c r="H660">
        <v>0</v>
      </c>
      <c r="I660" t="s">
        <v>1508</v>
      </c>
      <c r="J660">
        <v>13</v>
      </c>
      <c r="K660" t="s">
        <v>22</v>
      </c>
      <c r="L660" t="s">
        <v>208</v>
      </c>
    </row>
    <row r="661" spans="1:12" x14ac:dyDescent="0.3">
      <c r="A661">
        <v>660</v>
      </c>
      <c r="B661">
        <v>0</v>
      </c>
      <c r="C661">
        <v>1</v>
      </c>
      <c r="D661" t="s">
        <v>1509</v>
      </c>
      <c r="E661" t="s">
        <v>206</v>
      </c>
      <c r="F661">
        <v>58</v>
      </c>
      <c r="G661">
        <v>0</v>
      </c>
      <c r="H661">
        <v>2</v>
      </c>
      <c r="I661" t="s">
        <v>656</v>
      </c>
      <c r="J661">
        <v>113.27500000000001</v>
      </c>
      <c r="K661" t="s">
        <v>1510</v>
      </c>
      <c r="L661" t="s">
        <v>213</v>
      </c>
    </row>
    <row r="662" spans="1:12" x14ac:dyDescent="0.3">
      <c r="A662">
        <v>661</v>
      </c>
      <c r="B662">
        <v>1</v>
      </c>
      <c r="C662">
        <v>1</v>
      </c>
      <c r="D662" t="s">
        <v>1511</v>
      </c>
      <c r="E662" t="s">
        <v>206</v>
      </c>
      <c r="F662">
        <v>50</v>
      </c>
      <c r="G662">
        <v>2</v>
      </c>
      <c r="H662">
        <v>0</v>
      </c>
      <c r="I662" t="s">
        <v>902</v>
      </c>
      <c r="J662">
        <v>133.65</v>
      </c>
      <c r="K662" t="s">
        <v>22</v>
      </c>
      <c r="L662" t="s">
        <v>208</v>
      </c>
    </row>
    <row r="663" spans="1:12" x14ac:dyDescent="0.3">
      <c r="A663">
        <v>662</v>
      </c>
      <c r="B663">
        <v>0</v>
      </c>
      <c r="C663">
        <v>3</v>
      </c>
      <c r="D663" t="s">
        <v>1512</v>
      </c>
      <c r="E663" t="s">
        <v>206</v>
      </c>
      <c r="F663">
        <v>40</v>
      </c>
      <c r="G663">
        <v>0</v>
      </c>
      <c r="H663">
        <v>0</v>
      </c>
      <c r="I663" t="s">
        <v>1513</v>
      </c>
      <c r="J663">
        <v>7.2249999999999996</v>
      </c>
      <c r="K663" t="s">
        <v>22</v>
      </c>
      <c r="L663" t="s">
        <v>213</v>
      </c>
    </row>
    <row r="664" spans="1:12" x14ac:dyDescent="0.3">
      <c r="A664">
        <v>663</v>
      </c>
      <c r="B664">
        <v>0</v>
      </c>
      <c r="C664">
        <v>1</v>
      </c>
      <c r="D664" t="s">
        <v>1514</v>
      </c>
      <c r="E664" t="s">
        <v>206</v>
      </c>
      <c r="F664">
        <v>47</v>
      </c>
      <c r="G664">
        <v>0</v>
      </c>
      <c r="H664">
        <v>0</v>
      </c>
      <c r="I664" t="s">
        <v>1515</v>
      </c>
      <c r="J664">
        <v>25.587499999999999</v>
      </c>
      <c r="K664" t="s">
        <v>1516</v>
      </c>
      <c r="L664" t="s">
        <v>208</v>
      </c>
    </row>
    <row r="665" spans="1:12" x14ac:dyDescent="0.3">
      <c r="A665">
        <v>664</v>
      </c>
      <c r="B665">
        <v>0</v>
      </c>
      <c r="C665">
        <v>3</v>
      </c>
      <c r="D665" t="s">
        <v>1517</v>
      </c>
      <c r="E665" t="s">
        <v>206</v>
      </c>
      <c r="F665">
        <v>36</v>
      </c>
      <c r="G665">
        <v>0</v>
      </c>
      <c r="H665">
        <v>0</v>
      </c>
      <c r="I665" t="s">
        <v>1518</v>
      </c>
      <c r="J665">
        <v>7.4958</v>
      </c>
      <c r="K665" t="s">
        <v>22</v>
      </c>
      <c r="L665" t="s">
        <v>208</v>
      </c>
    </row>
    <row r="666" spans="1:12" x14ac:dyDescent="0.3">
      <c r="A666">
        <v>665</v>
      </c>
      <c r="B666">
        <v>1</v>
      </c>
      <c r="C666">
        <v>3</v>
      </c>
      <c r="D666" t="s">
        <v>1519</v>
      </c>
      <c r="E666" t="s">
        <v>206</v>
      </c>
      <c r="F666">
        <v>20</v>
      </c>
      <c r="G666">
        <v>1</v>
      </c>
      <c r="H666">
        <v>0</v>
      </c>
      <c r="I666" t="s">
        <v>1520</v>
      </c>
      <c r="J666">
        <v>7.9249999999999998</v>
      </c>
      <c r="K666" t="s">
        <v>22</v>
      </c>
      <c r="L666" t="s">
        <v>208</v>
      </c>
    </row>
    <row r="667" spans="1:12" x14ac:dyDescent="0.3">
      <c r="A667">
        <v>666</v>
      </c>
      <c r="B667">
        <v>0</v>
      </c>
      <c r="C667">
        <v>2</v>
      </c>
      <c r="D667" t="s">
        <v>1521</v>
      </c>
      <c r="E667" t="s">
        <v>206</v>
      </c>
      <c r="F667">
        <v>32</v>
      </c>
      <c r="G667">
        <v>2</v>
      </c>
      <c r="H667">
        <v>0</v>
      </c>
      <c r="I667" t="s">
        <v>368</v>
      </c>
      <c r="J667">
        <v>73.5</v>
      </c>
      <c r="K667" t="s">
        <v>22</v>
      </c>
      <c r="L667" t="s">
        <v>208</v>
      </c>
    </row>
    <row r="668" spans="1:12" x14ac:dyDescent="0.3">
      <c r="A668">
        <v>667</v>
      </c>
      <c r="B668">
        <v>0</v>
      </c>
      <c r="C668">
        <v>2</v>
      </c>
      <c r="D668" t="s">
        <v>1522</v>
      </c>
      <c r="E668" t="s">
        <v>206</v>
      </c>
      <c r="F668">
        <v>25</v>
      </c>
      <c r="G668">
        <v>0</v>
      </c>
      <c r="H668">
        <v>0</v>
      </c>
      <c r="I668" t="s">
        <v>1523</v>
      </c>
      <c r="J668">
        <v>13</v>
      </c>
      <c r="K668" t="s">
        <v>22</v>
      </c>
      <c r="L668" t="s">
        <v>208</v>
      </c>
    </row>
    <row r="669" spans="1:12" x14ac:dyDescent="0.3">
      <c r="A669">
        <v>668</v>
      </c>
      <c r="B669">
        <v>0</v>
      </c>
      <c r="C669">
        <v>3</v>
      </c>
      <c r="D669" t="s">
        <v>1524</v>
      </c>
      <c r="E669" t="s">
        <v>206</v>
      </c>
      <c r="G669">
        <v>0</v>
      </c>
      <c r="H669">
        <v>0</v>
      </c>
      <c r="I669" t="s">
        <v>1525</v>
      </c>
      <c r="J669">
        <v>7.7750000000000004</v>
      </c>
      <c r="K669" t="s">
        <v>22</v>
      </c>
      <c r="L669" t="s">
        <v>208</v>
      </c>
    </row>
    <row r="670" spans="1:12" x14ac:dyDescent="0.3">
      <c r="A670">
        <v>669</v>
      </c>
      <c r="B670">
        <v>0</v>
      </c>
      <c r="C670">
        <v>3</v>
      </c>
      <c r="D670" t="s">
        <v>1526</v>
      </c>
      <c r="E670" t="s">
        <v>206</v>
      </c>
      <c r="F670">
        <v>43</v>
      </c>
      <c r="G670">
        <v>0</v>
      </c>
      <c r="H670">
        <v>0</v>
      </c>
      <c r="I670" t="s">
        <v>1527</v>
      </c>
      <c r="J670">
        <v>8.0500000000000007</v>
      </c>
      <c r="K670" t="s">
        <v>22</v>
      </c>
      <c r="L670" t="s">
        <v>208</v>
      </c>
    </row>
    <row r="671" spans="1:12" x14ac:dyDescent="0.3">
      <c r="A671">
        <v>670</v>
      </c>
      <c r="B671">
        <v>1</v>
      </c>
      <c r="C671">
        <v>1</v>
      </c>
      <c r="D671" t="s">
        <v>1528</v>
      </c>
      <c r="E671" t="s">
        <v>210</v>
      </c>
      <c r="G671">
        <v>1</v>
      </c>
      <c r="H671">
        <v>0</v>
      </c>
      <c r="I671" t="s">
        <v>1529</v>
      </c>
      <c r="J671">
        <v>52</v>
      </c>
      <c r="K671" t="s">
        <v>1530</v>
      </c>
      <c r="L671" t="s">
        <v>208</v>
      </c>
    </row>
    <row r="672" spans="1:12" x14ac:dyDescent="0.3">
      <c r="A672">
        <v>671</v>
      </c>
      <c r="B672">
        <v>1</v>
      </c>
      <c r="C672">
        <v>2</v>
      </c>
      <c r="D672" t="s">
        <v>1531</v>
      </c>
      <c r="E672" t="s">
        <v>210</v>
      </c>
      <c r="F672">
        <v>40</v>
      </c>
      <c r="G672">
        <v>1</v>
      </c>
      <c r="H672">
        <v>1</v>
      </c>
      <c r="I672" t="s">
        <v>1532</v>
      </c>
      <c r="J672">
        <v>39</v>
      </c>
      <c r="K672" t="s">
        <v>22</v>
      </c>
      <c r="L672" t="s">
        <v>208</v>
      </c>
    </row>
    <row r="673" spans="1:12" x14ac:dyDescent="0.3">
      <c r="A673">
        <v>672</v>
      </c>
      <c r="B673">
        <v>0</v>
      </c>
      <c r="C673">
        <v>1</v>
      </c>
      <c r="D673" t="s">
        <v>1533</v>
      </c>
      <c r="E673" t="s">
        <v>206</v>
      </c>
      <c r="F673">
        <v>31</v>
      </c>
      <c r="G673">
        <v>1</v>
      </c>
      <c r="H673">
        <v>0</v>
      </c>
      <c r="I673" t="s">
        <v>1534</v>
      </c>
      <c r="J673">
        <v>52</v>
      </c>
      <c r="K673" t="s">
        <v>1535</v>
      </c>
      <c r="L673" t="s">
        <v>208</v>
      </c>
    </row>
    <row r="674" spans="1:12" x14ac:dyDescent="0.3">
      <c r="A674">
        <v>673</v>
      </c>
      <c r="B674">
        <v>0</v>
      </c>
      <c r="C674">
        <v>2</v>
      </c>
      <c r="D674" t="s">
        <v>1536</v>
      </c>
      <c r="E674" t="s">
        <v>206</v>
      </c>
      <c r="F674">
        <v>70</v>
      </c>
      <c r="G674">
        <v>0</v>
      </c>
      <c r="H674">
        <v>0</v>
      </c>
      <c r="I674" t="s">
        <v>1537</v>
      </c>
      <c r="J674">
        <v>10.5</v>
      </c>
      <c r="K674" t="s">
        <v>22</v>
      </c>
      <c r="L674" t="s">
        <v>208</v>
      </c>
    </row>
    <row r="675" spans="1:12" x14ac:dyDescent="0.3">
      <c r="A675">
        <v>674</v>
      </c>
      <c r="B675">
        <v>1</v>
      </c>
      <c r="C675">
        <v>2</v>
      </c>
      <c r="D675" t="s">
        <v>1538</v>
      </c>
      <c r="E675" t="s">
        <v>206</v>
      </c>
      <c r="F675">
        <v>31</v>
      </c>
      <c r="G675">
        <v>0</v>
      </c>
      <c r="H675">
        <v>0</v>
      </c>
      <c r="I675" t="s">
        <v>1539</v>
      </c>
      <c r="J675">
        <v>13</v>
      </c>
      <c r="K675" t="s">
        <v>22</v>
      </c>
      <c r="L675" t="s">
        <v>208</v>
      </c>
    </row>
    <row r="676" spans="1:12" x14ac:dyDescent="0.3">
      <c r="A676">
        <v>675</v>
      </c>
      <c r="B676">
        <v>0</v>
      </c>
      <c r="C676">
        <v>2</v>
      </c>
      <c r="D676" t="s">
        <v>1540</v>
      </c>
      <c r="E676" t="s">
        <v>206</v>
      </c>
      <c r="G676">
        <v>0</v>
      </c>
      <c r="H676">
        <v>0</v>
      </c>
      <c r="I676" t="s">
        <v>1541</v>
      </c>
      <c r="J676">
        <v>0</v>
      </c>
      <c r="K676" t="s">
        <v>22</v>
      </c>
      <c r="L676" t="s">
        <v>208</v>
      </c>
    </row>
    <row r="677" spans="1:12" x14ac:dyDescent="0.3">
      <c r="A677">
        <v>676</v>
      </c>
      <c r="B677">
        <v>0</v>
      </c>
      <c r="C677">
        <v>3</v>
      </c>
      <c r="D677" t="s">
        <v>1542</v>
      </c>
      <c r="E677" t="s">
        <v>206</v>
      </c>
      <c r="F677">
        <v>18</v>
      </c>
      <c r="G677">
        <v>0</v>
      </c>
      <c r="H677">
        <v>0</v>
      </c>
      <c r="I677" t="s">
        <v>1543</v>
      </c>
      <c r="J677">
        <v>7.7750000000000004</v>
      </c>
      <c r="K677" t="s">
        <v>22</v>
      </c>
      <c r="L677" t="s">
        <v>208</v>
      </c>
    </row>
    <row r="678" spans="1:12" x14ac:dyDescent="0.3">
      <c r="A678">
        <v>677</v>
      </c>
      <c r="B678">
        <v>0</v>
      </c>
      <c r="C678">
        <v>3</v>
      </c>
      <c r="D678" t="s">
        <v>1544</v>
      </c>
      <c r="E678" t="s">
        <v>206</v>
      </c>
      <c r="F678">
        <v>24.5</v>
      </c>
      <c r="G678">
        <v>0</v>
      </c>
      <c r="H678">
        <v>0</v>
      </c>
      <c r="I678" t="s">
        <v>1545</v>
      </c>
      <c r="J678">
        <v>8.0500000000000007</v>
      </c>
      <c r="K678" t="s">
        <v>22</v>
      </c>
      <c r="L678" t="s">
        <v>208</v>
      </c>
    </row>
    <row r="679" spans="1:12" x14ac:dyDescent="0.3">
      <c r="A679">
        <v>678</v>
      </c>
      <c r="B679">
        <v>1</v>
      </c>
      <c r="C679">
        <v>3</v>
      </c>
      <c r="D679" t="s">
        <v>1546</v>
      </c>
      <c r="E679" t="s">
        <v>210</v>
      </c>
      <c r="F679">
        <v>18</v>
      </c>
      <c r="G679">
        <v>0</v>
      </c>
      <c r="H679">
        <v>0</v>
      </c>
      <c r="I679" t="s">
        <v>1547</v>
      </c>
      <c r="J679">
        <v>9.8416999999999994</v>
      </c>
      <c r="K679" t="s">
        <v>22</v>
      </c>
      <c r="L679" t="s">
        <v>208</v>
      </c>
    </row>
    <row r="680" spans="1:12" x14ac:dyDescent="0.3">
      <c r="A680">
        <v>679</v>
      </c>
      <c r="B680">
        <v>0</v>
      </c>
      <c r="C680">
        <v>3</v>
      </c>
      <c r="D680" t="s">
        <v>1548</v>
      </c>
      <c r="E680" t="s">
        <v>210</v>
      </c>
      <c r="F680">
        <v>43</v>
      </c>
      <c r="G680">
        <v>1</v>
      </c>
      <c r="H680">
        <v>6</v>
      </c>
      <c r="I680" t="s">
        <v>340</v>
      </c>
      <c r="J680">
        <v>46.9</v>
      </c>
      <c r="K680" t="s">
        <v>22</v>
      </c>
      <c r="L680" t="s">
        <v>208</v>
      </c>
    </row>
    <row r="681" spans="1:12" x14ac:dyDescent="0.3">
      <c r="A681">
        <v>680</v>
      </c>
      <c r="B681">
        <v>1</v>
      </c>
      <c r="C681">
        <v>1</v>
      </c>
      <c r="D681" t="s">
        <v>1549</v>
      </c>
      <c r="E681" t="s">
        <v>206</v>
      </c>
      <c r="F681">
        <v>36</v>
      </c>
      <c r="G681">
        <v>0</v>
      </c>
      <c r="H681">
        <v>1</v>
      </c>
      <c r="I681" t="s">
        <v>744</v>
      </c>
      <c r="J681">
        <v>512.32920000000001</v>
      </c>
      <c r="K681" t="s">
        <v>1550</v>
      </c>
      <c r="L681" t="s">
        <v>213</v>
      </c>
    </row>
    <row r="682" spans="1:12" x14ac:dyDescent="0.3">
      <c r="A682">
        <v>681</v>
      </c>
      <c r="B682">
        <v>0</v>
      </c>
      <c r="C682">
        <v>3</v>
      </c>
      <c r="D682" t="s">
        <v>1551</v>
      </c>
      <c r="E682" t="s">
        <v>210</v>
      </c>
      <c r="G682">
        <v>0</v>
      </c>
      <c r="H682">
        <v>0</v>
      </c>
      <c r="I682" t="s">
        <v>1552</v>
      </c>
      <c r="J682">
        <v>8.1374999999999993</v>
      </c>
      <c r="K682" t="s">
        <v>22</v>
      </c>
      <c r="L682" t="s">
        <v>223</v>
      </c>
    </row>
    <row r="683" spans="1:12" x14ac:dyDescent="0.3">
      <c r="A683">
        <v>682</v>
      </c>
      <c r="B683">
        <v>1</v>
      </c>
      <c r="C683">
        <v>1</v>
      </c>
      <c r="D683" t="s">
        <v>1553</v>
      </c>
      <c r="E683" t="s">
        <v>206</v>
      </c>
      <c r="F683">
        <v>27</v>
      </c>
      <c r="G683">
        <v>0</v>
      </c>
      <c r="H683">
        <v>0</v>
      </c>
      <c r="I683" t="s">
        <v>323</v>
      </c>
      <c r="J683">
        <v>76.729200000000006</v>
      </c>
      <c r="K683" t="s">
        <v>1554</v>
      </c>
      <c r="L683" t="s">
        <v>213</v>
      </c>
    </row>
    <row r="684" spans="1:12" x14ac:dyDescent="0.3">
      <c r="A684">
        <v>683</v>
      </c>
      <c r="B684">
        <v>0</v>
      </c>
      <c r="C684">
        <v>3</v>
      </c>
      <c r="D684" t="s">
        <v>1555</v>
      </c>
      <c r="E684" t="s">
        <v>206</v>
      </c>
      <c r="F684">
        <v>20</v>
      </c>
      <c r="G684">
        <v>0</v>
      </c>
      <c r="H684">
        <v>0</v>
      </c>
      <c r="I684" t="s">
        <v>1556</v>
      </c>
      <c r="J684">
        <v>9.2249999999999996</v>
      </c>
      <c r="K684" t="s">
        <v>22</v>
      </c>
      <c r="L684" t="s">
        <v>208</v>
      </c>
    </row>
    <row r="685" spans="1:12" x14ac:dyDescent="0.3">
      <c r="A685">
        <v>684</v>
      </c>
      <c r="B685">
        <v>0</v>
      </c>
      <c r="C685">
        <v>3</v>
      </c>
      <c r="D685" t="s">
        <v>1557</v>
      </c>
      <c r="E685" t="s">
        <v>206</v>
      </c>
      <c r="F685">
        <v>14</v>
      </c>
      <c r="G685">
        <v>5</v>
      </c>
      <c r="H685">
        <v>2</v>
      </c>
      <c r="I685" t="s">
        <v>340</v>
      </c>
      <c r="J685">
        <v>46.9</v>
      </c>
      <c r="K685" t="s">
        <v>22</v>
      </c>
      <c r="L685" t="s">
        <v>208</v>
      </c>
    </row>
    <row r="686" spans="1:12" x14ac:dyDescent="0.3">
      <c r="A686">
        <v>685</v>
      </c>
      <c r="B686">
        <v>0</v>
      </c>
      <c r="C686">
        <v>2</v>
      </c>
      <c r="D686" t="s">
        <v>1558</v>
      </c>
      <c r="E686" t="s">
        <v>206</v>
      </c>
      <c r="F686">
        <v>60</v>
      </c>
      <c r="G686">
        <v>1</v>
      </c>
      <c r="H686">
        <v>1</v>
      </c>
      <c r="I686" t="s">
        <v>1532</v>
      </c>
      <c r="J686">
        <v>39</v>
      </c>
      <c r="K686" t="s">
        <v>22</v>
      </c>
      <c r="L686" t="s">
        <v>208</v>
      </c>
    </row>
    <row r="687" spans="1:12" x14ac:dyDescent="0.3">
      <c r="A687">
        <v>686</v>
      </c>
      <c r="B687">
        <v>0</v>
      </c>
      <c r="C687">
        <v>2</v>
      </c>
      <c r="D687" t="s">
        <v>1559</v>
      </c>
      <c r="E687" t="s">
        <v>206</v>
      </c>
      <c r="F687">
        <v>25</v>
      </c>
      <c r="G687">
        <v>1</v>
      </c>
      <c r="H687">
        <v>2</v>
      </c>
      <c r="I687" t="s">
        <v>305</v>
      </c>
      <c r="J687">
        <v>41.5792</v>
      </c>
      <c r="K687" t="s">
        <v>22</v>
      </c>
      <c r="L687" t="s">
        <v>213</v>
      </c>
    </row>
    <row r="688" spans="1:12" x14ac:dyDescent="0.3">
      <c r="A688">
        <v>687</v>
      </c>
      <c r="B688">
        <v>0</v>
      </c>
      <c r="C688">
        <v>3</v>
      </c>
      <c r="D688" t="s">
        <v>1560</v>
      </c>
      <c r="E688" t="s">
        <v>206</v>
      </c>
      <c r="F688">
        <v>14</v>
      </c>
      <c r="G688">
        <v>4</v>
      </c>
      <c r="H688">
        <v>1</v>
      </c>
      <c r="I688" t="s">
        <v>319</v>
      </c>
      <c r="J688">
        <v>39.6875</v>
      </c>
      <c r="K688" t="s">
        <v>22</v>
      </c>
      <c r="L688" t="s">
        <v>208</v>
      </c>
    </row>
    <row r="689" spans="1:12" x14ac:dyDescent="0.3">
      <c r="A689">
        <v>688</v>
      </c>
      <c r="B689">
        <v>0</v>
      </c>
      <c r="C689">
        <v>3</v>
      </c>
      <c r="D689" t="s">
        <v>1561</v>
      </c>
      <c r="E689" t="s">
        <v>206</v>
      </c>
      <c r="F689">
        <v>19</v>
      </c>
      <c r="G689">
        <v>0</v>
      </c>
      <c r="H689">
        <v>0</v>
      </c>
      <c r="I689" t="s">
        <v>1562</v>
      </c>
      <c r="J689">
        <v>10.1708</v>
      </c>
      <c r="K689" t="s">
        <v>22</v>
      </c>
      <c r="L689" t="s">
        <v>208</v>
      </c>
    </row>
    <row r="690" spans="1:12" x14ac:dyDescent="0.3">
      <c r="A690">
        <v>689</v>
      </c>
      <c r="B690">
        <v>0</v>
      </c>
      <c r="C690">
        <v>3</v>
      </c>
      <c r="D690" t="s">
        <v>1563</v>
      </c>
      <c r="E690" t="s">
        <v>206</v>
      </c>
      <c r="F690">
        <v>18</v>
      </c>
      <c r="G690">
        <v>0</v>
      </c>
      <c r="H690">
        <v>0</v>
      </c>
      <c r="I690" t="s">
        <v>1564</v>
      </c>
      <c r="J690">
        <v>7.7957999999999998</v>
      </c>
      <c r="K690" t="s">
        <v>22</v>
      </c>
      <c r="L690" t="s">
        <v>208</v>
      </c>
    </row>
    <row r="691" spans="1:12" x14ac:dyDescent="0.3">
      <c r="A691">
        <v>690</v>
      </c>
      <c r="B691">
        <v>1</v>
      </c>
      <c r="C691">
        <v>1</v>
      </c>
      <c r="D691" t="s">
        <v>1565</v>
      </c>
      <c r="E691" t="s">
        <v>210</v>
      </c>
      <c r="F691">
        <v>15</v>
      </c>
      <c r="G691">
        <v>0</v>
      </c>
      <c r="H691">
        <v>1</v>
      </c>
      <c r="I691" t="s">
        <v>1566</v>
      </c>
      <c r="J691">
        <v>211.33750000000001</v>
      </c>
      <c r="K691" t="s">
        <v>1567</v>
      </c>
      <c r="L691" t="s">
        <v>208</v>
      </c>
    </row>
    <row r="692" spans="1:12" x14ac:dyDescent="0.3">
      <c r="A692">
        <v>691</v>
      </c>
      <c r="B692">
        <v>1</v>
      </c>
      <c r="C692">
        <v>1</v>
      </c>
      <c r="D692" t="s">
        <v>1568</v>
      </c>
      <c r="E692" t="s">
        <v>206</v>
      </c>
      <c r="F692">
        <v>31</v>
      </c>
      <c r="G692">
        <v>1</v>
      </c>
      <c r="H692">
        <v>0</v>
      </c>
      <c r="I692" t="s">
        <v>1569</v>
      </c>
      <c r="J692">
        <v>57</v>
      </c>
      <c r="K692" t="s">
        <v>1570</v>
      </c>
      <c r="L692" t="s">
        <v>208</v>
      </c>
    </row>
    <row r="693" spans="1:12" x14ac:dyDescent="0.3">
      <c r="A693">
        <v>692</v>
      </c>
      <c r="B693">
        <v>1</v>
      </c>
      <c r="C693">
        <v>3</v>
      </c>
      <c r="D693" t="s">
        <v>1571</v>
      </c>
      <c r="E693" t="s">
        <v>210</v>
      </c>
      <c r="F693">
        <v>4</v>
      </c>
      <c r="G693">
        <v>0</v>
      </c>
      <c r="H693">
        <v>1</v>
      </c>
      <c r="I693" t="s">
        <v>1572</v>
      </c>
      <c r="J693">
        <v>13.416700000000001</v>
      </c>
      <c r="K693" t="s">
        <v>22</v>
      </c>
      <c r="L693" t="s">
        <v>213</v>
      </c>
    </row>
    <row r="694" spans="1:12" x14ac:dyDescent="0.3">
      <c r="A694">
        <v>693</v>
      </c>
      <c r="B694">
        <v>1</v>
      </c>
      <c r="C694">
        <v>3</v>
      </c>
      <c r="D694" t="s">
        <v>1573</v>
      </c>
      <c r="E694" t="s">
        <v>206</v>
      </c>
      <c r="G694">
        <v>0</v>
      </c>
      <c r="H694">
        <v>0</v>
      </c>
      <c r="I694" t="s">
        <v>372</v>
      </c>
      <c r="J694">
        <v>56.495800000000003</v>
      </c>
      <c r="K694" t="s">
        <v>22</v>
      </c>
      <c r="L694" t="s">
        <v>208</v>
      </c>
    </row>
    <row r="695" spans="1:12" x14ac:dyDescent="0.3">
      <c r="A695">
        <v>694</v>
      </c>
      <c r="B695">
        <v>0</v>
      </c>
      <c r="C695">
        <v>3</v>
      </c>
      <c r="D695" t="s">
        <v>1574</v>
      </c>
      <c r="E695" t="s">
        <v>206</v>
      </c>
      <c r="F695">
        <v>25</v>
      </c>
      <c r="G695">
        <v>0</v>
      </c>
      <c r="H695">
        <v>0</v>
      </c>
      <c r="I695" t="s">
        <v>1575</v>
      </c>
      <c r="J695">
        <v>7.2249999999999996</v>
      </c>
      <c r="K695" t="s">
        <v>22</v>
      </c>
      <c r="L695" t="s">
        <v>213</v>
      </c>
    </row>
    <row r="696" spans="1:12" x14ac:dyDescent="0.3">
      <c r="A696">
        <v>695</v>
      </c>
      <c r="B696">
        <v>0</v>
      </c>
      <c r="C696">
        <v>1</v>
      </c>
      <c r="D696" t="s">
        <v>1576</v>
      </c>
      <c r="E696" t="s">
        <v>206</v>
      </c>
      <c r="F696">
        <v>60</v>
      </c>
      <c r="G696">
        <v>0</v>
      </c>
      <c r="H696">
        <v>0</v>
      </c>
      <c r="I696" t="s">
        <v>1577</v>
      </c>
      <c r="J696">
        <v>26.55</v>
      </c>
      <c r="K696" t="s">
        <v>22</v>
      </c>
      <c r="L696" t="s">
        <v>208</v>
      </c>
    </row>
    <row r="697" spans="1:12" x14ac:dyDescent="0.3">
      <c r="A697">
        <v>696</v>
      </c>
      <c r="B697">
        <v>0</v>
      </c>
      <c r="C697">
        <v>2</v>
      </c>
      <c r="D697" t="s">
        <v>1578</v>
      </c>
      <c r="E697" t="s">
        <v>206</v>
      </c>
      <c r="F697">
        <v>52</v>
      </c>
      <c r="G697">
        <v>0</v>
      </c>
      <c r="H697">
        <v>0</v>
      </c>
      <c r="I697" t="s">
        <v>1579</v>
      </c>
      <c r="J697">
        <v>13.5</v>
      </c>
      <c r="K697" t="s">
        <v>22</v>
      </c>
      <c r="L697" t="s">
        <v>208</v>
      </c>
    </row>
    <row r="698" spans="1:12" x14ac:dyDescent="0.3">
      <c r="A698">
        <v>697</v>
      </c>
      <c r="B698">
        <v>0</v>
      </c>
      <c r="C698">
        <v>3</v>
      </c>
      <c r="D698" t="s">
        <v>1580</v>
      </c>
      <c r="E698" t="s">
        <v>206</v>
      </c>
      <c r="F698">
        <v>44</v>
      </c>
      <c r="G698">
        <v>0</v>
      </c>
      <c r="H698">
        <v>0</v>
      </c>
      <c r="I698" t="s">
        <v>1581</v>
      </c>
      <c r="J698">
        <v>8.0500000000000007</v>
      </c>
      <c r="K698" t="s">
        <v>22</v>
      </c>
      <c r="L698" t="s">
        <v>208</v>
      </c>
    </row>
    <row r="699" spans="1:12" x14ac:dyDescent="0.3">
      <c r="A699">
        <v>698</v>
      </c>
      <c r="B699">
        <v>1</v>
      </c>
      <c r="C699">
        <v>3</v>
      </c>
      <c r="D699" t="s">
        <v>1582</v>
      </c>
      <c r="E699" t="s">
        <v>210</v>
      </c>
      <c r="G699">
        <v>0</v>
      </c>
      <c r="H699">
        <v>0</v>
      </c>
      <c r="I699" t="s">
        <v>1583</v>
      </c>
      <c r="J699">
        <v>7.7332999999999998</v>
      </c>
      <c r="K699" t="s">
        <v>22</v>
      </c>
      <c r="L699" t="s">
        <v>223</v>
      </c>
    </row>
    <row r="700" spans="1:12" x14ac:dyDescent="0.3">
      <c r="A700">
        <v>699</v>
      </c>
      <c r="B700">
        <v>0</v>
      </c>
      <c r="C700">
        <v>1</v>
      </c>
      <c r="D700" t="s">
        <v>1584</v>
      </c>
      <c r="E700" t="s">
        <v>206</v>
      </c>
      <c r="F700">
        <v>49</v>
      </c>
      <c r="G700">
        <v>1</v>
      </c>
      <c r="H700">
        <v>1</v>
      </c>
      <c r="I700" t="s">
        <v>844</v>
      </c>
      <c r="J700">
        <v>110.88330000000001</v>
      </c>
      <c r="K700" t="s">
        <v>1372</v>
      </c>
      <c r="L700" t="s">
        <v>213</v>
      </c>
    </row>
    <row r="701" spans="1:12" x14ac:dyDescent="0.3">
      <c r="A701">
        <v>700</v>
      </c>
      <c r="B701">
        <v>0</v>
      </c>
      <c r="C701">
        <v>3</v>
      </c>
      <c r="D701" t="s">
        <v>1585</v>
      </c>
      <c r="E701" t="s">
        <v>206</v>
      </c>
      <c r="F701">
        <v>42</v>
      </c>
      <c r="G701">
        <v>0</v>
      </c>
      <c r="H701">
        <v>0</v>
      </c>
      <c r="I701" t="s">
        <v>1586</v>
      </c>
      <c r="J701">
        <v>7.65</v>
      </c>
      <c r="K701" t="s">
        <v>1587</v>
      </c>
      <c r="L701" t="s">
        <v>208</v>
      </c>
    </row>
    <row r="702" spans="1:12" x14ac:dyDescent="0.3">
      <c r="A702">
        <v>701</v>
      </c>
      <c r="B702">
        <v>1</v>
      </c>
      <c r="C702">
        <v>1</v>
      </c>
      <c r="D702" t="s">
        <v>1588</v>
      </c>
      <c r="E702" t="s">
        <v>210</v>
      </c>
      <c r="F702">
        <v>18</v>
      </c>
      <c r="G702">
        <v>1</v>
      </c>
      <c r="H702">
        <v>0</v>
      </c>
      <c r="I702" t="s">
        <v>990</v>
      </c>
      <c r="J702">
        <v>227.52500000000001</v>
      </c>
      <c r="K702" t="s">
        <v>1589</v>
      </c>
      <c r="L702" t="s">
        <v>213</v>
      </c>
    </row>
    <row r="703" spans="1:12" x14ac:dyDescent="0.3">
      <c r="A703">
        <v>702</v>
      </c>
      <c r="B703">
        <v>1</v>
      </c>
      <c r="C703">
        <v>1</v>
      </c>
      <c r="D703" t="s">
        <v>1590</v>
      </c>
      <c r="E703" t="s">
        <v>206</v>
      </c>
      <c r="F703">
        <v>35</v>
      </c>
      <c r="G703">
        <v>0</v>
      </c>
      <c r="H703">
        <v>0</v>
      </c>
      <c r="I703" t="s">
        <v>1591</v>
      </c>
      <c r="J703">
        <v>26.287500000000001</v>
      </c>
      <c r="K703" t="s">
        <v>1592</v>
      </c>
      <c r="L703" t="s">
        <v>208</v>
      </c>
    </row>
    <row r="704" spans="1:12" x14ac:dyDescent="0.3">
      <c r="A704">
        <v>703</v>
      </c>
      <c r="B704">
        <v>0</v>
      </c>
      <c r="C704">
        <v>3</v>
      </c>
      <c r="D704" t="s">
        <v>1593</v>
      </c>
      <c r="E704" t="s">
        <v>210</v>
      </c>
      <c r="F704">
        <v>18</v>
      </c>
      <c r="G704">
        <v>0</v>
      </c>
      <c r="H704">
        <v>1</v>
      </c>
      <c r="I704" t="s">
        <v>954</v>
      </c>
      <c r="J704">
        <v>14.4542</v>
      </c>
      <c r="K704" t="s">
        <v>22</v>
      </c>
      <c r="L704" t="s">
        <v>213</v>
      </c>
    </row>
    <row r="705" spans="1:12" x14ac:dyDescent="0.3">
      <c r="A705">
        <v>704</v>
      </c>
      <c r="B705">
        <v>0</v>
      </c>
      <c r="C705">
        <v>3</v>
      </c>
      <c r="D705" t="s">
        <v>1594</v>
      </c>
      <c r="E705" t="s">
        <v>206</v>
      </c>
      <c r="F705">
        <v>25</v>
      </c>
      <c r="G705">
        <v>0</v>
      </c>
      <c r="H705">
        <v>0</v>
      </c>
      <c r="I705" t="s">
        <v>1595</v>
      </c>
      <c r="J705">
        <v>7.7416999999999998</v>
      </c>
      <c r="K705" t="s">
        <v>22</v>
      </c>
      <c r="L705" t="s">
        <v>223</v>
      </c>
    </row>
    <row r="706" spans="1:12" x14ac:dyDescent="0.3">
      <c r="A706">
        <v>705</v>
      </c>
      <c r="B706">
        <v>0</v>
      </c>
      <c r="C706">
        <v>3</v>
      </c>
      <c r="D706" t="s">
        <v>1596</v>
      </c>
      <c r="E706" t="s">
        <v>206</v>
      </c>
      <c r="F706">
        <v>26</v>
      </c>
      <c r="G706">
        <v>1</v>
      </c>
      <c r="H706">
        <v>0</v>
      </c>
      <c r="I706" t="s">
        <v>1597</v>
      </c>
      <c r="J706">
        <v>7.8541999999999996</v>
      </c>
      <c r="K706" t="s">
        <v>22</v>
      </c>
      <c r="L706" t="s">
        <v>208</v>
      </c>
    </row>
    <row r="707" spans="1:12" x14ac:dyDescent="0.3">
      <c r="A707">
        <v>706</v>
      </c>
      <c r="B707">
        <v>0</v>
      </c>
      <c r="C707">
        <v>2</v>
      </c>
      <c r="D707" t="s">
        <v>1598</v>
      </c>
      <c r="E707" t="s">
        <v>206</v>
      </c>
      <c r="F707">
        <v>39</v>
      </c>
      <c r="G707">
        <v>0</v>
      </c>
      <c r="H707">
        <v>0</v>
      </c>
      <c r="I707" t="s">
        <v>1075</v>
      </c>
      <c r="J707">
        <v>26</v>
      </c>
      <c r="K707" t="s">
        <v>22</v>
      </c>
      <c r="L707" t="s">
        <v>208</v>
      </c>
    </row>
    <row r="708" spans="1:12" x14ac:dyDescent="0.3">
      <c r="A708">
        <v>707</v>
      </c>
      <c r="B708">
        <v>1</v>
      </c>
      <c r="C708">
        <v>2</v>
      </c>
      <c r="D708" t="s">
        <v>1599</v>
      </c>
      <c r="E708" t="s">
        <v>210</v>
      </c>
      <c r="F708">
        <v>45</v>
      </c>
      <c r="G708">
        <v>0</v>
      </c>
      <c r="H708">
        <v>0</v>
      </c>
      <c r="I708" t="s">
        <v>1600</v>
      </c>
      <c r="J708">
        <v>13.5</v>
      </c>
      <c r="K708" t="s">
        <v>22</v>
      </c>
      <c r="L708" t="s">
        <v>208</v>
      </c>
    </row>
    <row r="709" spans="1:12" x14ac:dyDescent="0.3">
      <c r="A709">
        <v>708</v>
      </c>
      <c r="B709">
        <v>1</v>
      </c>
      <c r="C709">
        <v>1</v>
      </c>
      <c r="D709" t="s">
        <v>1601</v>
      </c>
      <c r="E709" t="s">
        <v>206</v>
      </c>
      <c r="F709">
        <v>42</v>
      </c>
      <c r="G709">
        <v>0</v>
      </c>
      <c r="H709">
        <v>0</v>
      </c>
      <c r="I709" t="s">
        <v>1602</v>
      </c>
      <c r="J709">
        <v>26.287500000000001</v>
      </c>
      <c r="K709" t="s">
        <v>1592</v>
      </c>
      <c r="L709" t="s">
        <v>208</v>
      </c>
    </row>
    <row r="710" spans="1:12" x14ac:dyDescent="0.3">
      <c r="A710">
        <v>709</v>
      </c>
      <c r="B710">
        <v>1</v>
      </c>
      <c r="C710">
        <v>1</v>
      </c>
      <c r="D710" t="s">
        <v>1603</v>
      </c>
      <c r="E710" t="s">
        <v>210</v>
      </c>
      <c r="F710">
        <v>22</v>
      </c>
      <c r="G710">
        <v>0</v>
      </c>
      <c r="H710">
        <v>0</v>
      </c>
      <c r="I710" t="s">
        <v>827</v>
      </c>
      <c r="J710">
        <v>151.55000000000001</v>
      </c>
      <c r="K710" t="s">
        <v>22</v>
      </c>
      <c r="L710" t="s">
        <v>208</v>
      </c>
    </row>
    <row r="711" spans="1:12" x14ac:dyDescent="0.3">
      <c r="A711">
        <v>710</v>
      </c>
      <c r="B711">
        <v>1</v>
      </c>
      <c r="C711">
        <v>3</v>
      </c>
      <c r="D711" t="s">
        <v>1604</v>
      </c>
      <c r="E711" t="s">
        <v>206</v>
      </c>
      <c r="G711">
        <v>1</v>
      </c>
      <c r="H711">
        <v>1</v>
      </c>
      <c r="I711" t="s">
        <v>354</v>
      </c>
      <c r="J711">
        <v>15.245799999999999</v>
      </c>
      <c r="K711" t="s">
        <v>22</v>
      </c>
      <c r="L711" t="s">
        <v>213</v>
      </c>
    </row>
    <row r="712" spans="1:12" x14ac:dyDescent="0.3">
      <c r="A712">
        <v>711</v>
      </c>
      <c r="B712">
        <v>1</v>
      </c>
      <c r="C712">
        <v>1</v>
      </c>
      <c r="D712" t="s">
        <v>1605</v>
      </c>
      <c r="E712" t="s">
        <v>210</v>
      </c>
      <c r="F712">
        <v>24</v>
      </c>
      <c r="G712">
        <v>0</v>
      </c>
      <c r="H712">
        <v>0</v>
      </c>
      <c r="I712" t="s">
        <v>1606</v>
      </c>
      <c r="J712">
        <v>49.504199999999997</v>
      </c>
      <c r="K712" t="s">
        <v>1607</v>
      </c>
      <c r="L712" t="s">
        <v>213</v>
      </c>
    </row>
    <row r="713" spans="1:12" x14ac:dyDescent="0.3">
      <c r="A713">
        <v>712</v>
      </c>
      <c r="B713">
        <v>0</v>
      </c>
      <c r="C713">
        <v>1</v>
      </c>
      <c r="D713" t="s">
        <v>1608</v>
      </c>
      <c r="E713" t="s">
        <v>206</v>
      </c>
      <c r="G713">
        <v>0</v>
      </c>
      <c r="H713">
        <v>0</v>
      </c>
      <c r="I713" t="s">
        <v>1609</v>
      </c>
      <c r="J713">
        <v>26.55</v>
      </c>
      <c r="K713" t="s">
        <v>897</v>
      </c>
      <c r="L713" t="s">
        <v>208</v>
      </c>
    </row>
    <row r="714" spans="1:12" x14ac:dyDescent="0.3">
      <c r="A714">
        <v>713</v>
      </c>
      <c r="B714">
        <v>1</v>
      </c>
      <c r="C714">
        <v>1</v>
      </c>
      <c r="D714" t="s">
        <v>1610</v>
      </c>
      <c r="E714" t="s">
        <v>206</v>
      </c>
      <c r="F714">
        <v>48</v>
      </c>
      <c r="G714">
        <v>1</v>
      </c>
      <c r="H714">
        <v>0</v>
      </c>
      <c r="I714" t="s">
        <v>1529</v>
      </c>
      <c r="J714">
        <v>52</v>
      </c>
      <c r="K714" t="s">
        <v>1530</v>
      </c>
      <c r="L714" t="s">
        <v>208</v>
      </c>
    </row>
    <row r="715" spans="1:12" x14ac:dyDescent="0.3">
      <c r="A715">
        <v>714</v>
      </c>
      <c r="B715">
        <v>0</v>
      </c>
      <c r="C715">
        <v>3</v>
      </c>
      <c r="D715" t="s">
        <v>1611</v>
      </c>
      <c r="E715" t="s">
        <v>206</v>
      </c>
      <c r="F715">
        <v>29</v>
      </c>
      <c r="G715">
        <v>0</v>
      </c>
      <c r="H715">
        <v>0</v>
      </c>
      <c r="I715" t="s">
        <v>1612</v>
      </c>
      <c r="J715">
        <v>9.4832999999999998</v>
      </c>
      <c r="K715" t="s">
        <v>22</v>
      </c>
      <c r="L715" t="s">
        <v>208</v>
      </c>
    </row>
    <row r="716" spans="1:12" x14ac:dyDescent="0.3">
      <c r="A716">
        <v>715</v>
      </c>
      <c r="B716">
        <v>0</v>
      </c>
      <c r="C716">
        <v>2</v>
      </c>
      <c r="D716" t="s">
        <v>1613</v>
      </c>
      <c r="E716" t="s">
        <v>206</v>
      </c>
      <c r="F716">
        <v>52</v>
      </c>
      <c r="G716">
        <v>0</v>
      </c>
      <c r="H716">
        <v>0</v>
      </c>
      <c r="I716" t="s">
        <v>1614</v>
      </c>
      <c r="J716">
        <v>13</v>
      </c>
      <c r="K716" t="s">
        <v>22</v>
      </c>
      <c r="L716" t="s">
        <v>208</v>
      </c>
    </row>
    <row r="717" spans="1:12" x14ac:dyDescent="0.3">
      <c r="A717">
        <v>716</v>
      </c>
      <c r="B717">
        <v>0</v>
      </c>
      <c r="C717">
        <v>3</v>
      </c>
      <c r="D717" t="s">
        <v>1615</v>
      </c>
      <c r="E717" t="s">
        <v>206</v>
      </c>
      <c r="F717">
        <v>19</v>
      </c>
      <c r="G717">
        <v>0</v>
      </c>
      <c r="H717">
        <v>0</v>
      </c>
      <c r="I717" t="s">
        <v>1616</v>
      </c>
      <c r="J717">
        <v>7.65</v>
      </c>
      <c r="K717" t="s">
        <v>375</v>
      </c>
      <c r="L717" t="s">
        <v>208</v>
      </c>
    </row>
    <row r="718" spans="1:12" x14ac:dyDescent="0.3">
      <c r="A718">
        <v>717</v>
      </c>
      <c r="B718">
        <v>1</v>
      </c>
      <c r="C718">
        <v>1</v>
      </c>
      <c r="D718" t="s">
        <v>1617</v>
      </c>
      <c r="E718" t="s">
        <v>210</v>
      </c>
      <c r="F718">
        <v>38</v>
      </c>
      <c r="G718">
        <v>0</v>
      </c>
      <c r="H718">
        <v>0</v>
      </c>
      <c r="I718" t="s">
        <v>990</v>
      </c>
      <c r="J718">
        <v>227.52500000000001</v>
      </c>
      <c r="K718" t="s">
        <v>1618</v>
      </c>
      <c r="L718" t="s">
        <v>213</v>
      </c>
    </row>
    <row r="719" spans="1:12" x14ac:dyDescent="0.3">
      <c r="A719">
        <v>718</v>
      </c>
      <c r="B719">
        <v>1</v>
      </c>
      <c r="C719">
        <v>2</v>
      </c>
      <c r="D719" t="s">
        <v>1619</v>
      </c>
      <c r="E719" t="s">
        <v>210</v>
      </c>
      <c r="F719">
        <v>27</v>
      </c>
      <c r="G719">
        <v>0</v>
      </c>
      <c r="H719">
        <v>0</v>
      </c>
      <c r="I719" t="s">
        <v>1620</v>
      </c>
      <c r="J719">
        <v>10.5</v>
      </c>
      <c r="K719" t="s">
        <v>473</v>
      </c>
      <c r="L719" t="s">
        <v>208</v>
      </c>
    </row>
    <row r="720" spans="1:12" x14ac:dyDescent="0.3">
      <c r="A720">
        <v>719</v>
      </c>
      <c r="B720">
        <v>0</v>
      </c>
      <c r="C720">
        <v>3</v>
      </c>
      <c r="D720" t="s">
        <v>1621</v>
      </c>
      <c r="E720" t="s">
        <v>206</v>
      </c>
      <c r="G720">
        <v>0</v>
      </c>
      <c r="H720">
        <v>0</v>
      </c>
      <c r="I720" t="s">
        <v>1622</v>
      </c>
      <c r="J720">
        <v>15.5</v>
      </c>
      <c r="K720" t="s">
        <v>22</v>
      </c>
      <c r="L720" t="s">
        <v>223</v>
      </c>
    </row>
    <row r="721" spans="1:12" x14ac:dyDescent="0.3">
      <c r="A721">
        <v>720</v>
      </c>
      <c r="B721">
        <v>0</v>
      </c>
      <c r="C721">
        <v>3</v>
      </c>
      <c r="D721" t="s">
        <v>1623</v>
      </c>
      <c r="E721" t="s">
        <v>206</v>
      </c>
      <c r="F721">
        <v>33</v>
      </c>
      <c r="G721">
        <v>0</v>
      </c>
      <c r="H721">
        <v>0</v>
      </c>
      <c r="I721" t="s">
        <v>1624</v>
      </c>
      <c r="J721">
        <v>7.7750000000000004</v>
      </c>
      <c r="K721" t="s">
        <v>22</v>
      </c>
      <c r="L721" t="s">
        <v>208</v>
      </c>
    </row>
    <row r="722" spans="1:12" x14ac:dyDescent="0.3">
      <c r="A722">
        <v>721</v>
      </c>
      <c r="B722">
        <v>1</v>
      </c>
      <c r="C722">
        <v>2</v>
      </c>
      <c r="D722" t="s">
        <v>1625</v>
      </c>
      <c r="E722" t="s">
        <v>210</v>
      </c>
      <c r="F722">
        <v>6</v>
      </c>
      <c r="G722">
        <v>0</v>
      </c>
      <c r="H722">
        <v>1</v>
      </c>
      <c r="I722" t="s">
        <v>1401</v>
      </c>
      <c r="J722">
        <v>33</v>
      </c>
      <c r="K722" t="s">
        <v>22</v>
      </c>
      <c r="L722" t="s">
        <v>208</v>
      </c>
    </row>
    <row r="723" spans="1:12" x14ac:dyDescent="0.3">
      <c r="A723">
        <v>722</v>
      </c>
      <c r="B723">
        <v>0</v>
      </c>
      <c r="C723">
        <v>3</v>
      </c>
      <c r="D723" t="s">
        <v>1626</v>
      </c>
      <c r="E723" t="s">
        <v>206</v>
      </c>
      <c r="F723">
        <v>17</v>
      </c>
      <c r="G723">
        <v>1</v>
      </c>
      <c r="H723">
        <v>0</v>
      </c>
      <c r="I723" t="s">
        <v>1627</v>
      </c>
      <c r="J723">
        <v>7.0541999999999998</v>
      </c>
      <c r="K723" t="s">
        <v>22</v>
      </c>
      <c r="L723" t="s">
        <v>208</v>
      </c>
    </row>
    <row r="724" spans="1:12" x14ac:dyDescent="0.3">
      <c r="A724">
        <v>723</v>
      </c>
      <c r="B724">
        <v>0</v>
      </c>
      <c r="C724">
        <v>2</v>
      </c>
      <c r="D724" t="s">
        <v>1628</v>
      </c>
      <c r="E724" t="s">
        <v>206</v>
      </c>
      <c r="F724">
        <v>34</v>
      </c>
      <c r="G724">
        <v>0</v>
      </c>
      <c r="H724">
        <v>0</v>
      </c>
      <c r="I724" t="s">
        <v>1629</v>
      </c>
      <c r="J724">
        <v>13</v>
      </c>
      <c r="K724" t="s">
        <v>22</v>
      </c>
      <c r="L724" t="s">
        <v>208</v>
      </c>
    </row>
    <row r="725" spans="1:12" x14ac:dyDescent="0.3">
      <c r="A725">
        <v>724</v>
      </c>
      <c r="B725">
        <v>0</v>
      </c>
      <c r="C725">
        <v>2</v>
      </c>
      <c r="D725" t="s">
        <v>1630</v>
      </c>
      <c r="E725" t="s">
        <v>206</v>
      </c>
      <c r="F725">
        <v>50</v>
      </c>
      <c r="G725">
        <v>0</v>
      </c>
      <c r="H725">
        <v>0</v>
      </c>
      <c r="I725" t="s">
        <v>1631</v>
      </c>
      <c r="J725">
        <v>13</v>
      </c>
      <c r="K725" t="s">
        <v>22</v>
      </c>
      <c r="L725" t="s">
        <v>208</v>
      </c>
    </row>
    <row r="726" spans="1:12" x14ac:dyDescent="0.3">
      <c r="A726">
        <v>725</v>
      </c>
      <c r="B726">
        <v>1</v>
      </c>
      <c r="C726">
        <v>1</v>
      </c>
      <c r="D726" t="s">
        <v>1632</v>
      </c>
      <c r="E726" t="s">
        <v>206</v>
      </c>
      <c r="F726">
        <v>27</v>
      </c>
      <c r="G726">
        <v>1</v>
      </c>
      <c r="H726">
        <v>0</v>
      </c>
      <c r="I726" t="s">
        <v>1633</v>
      </c>
      <c r="J726">
        <v>53.1</v>
      </c>
      <c r="K726" t="s">
        <v>1634</v>
      </c>
      <c r="L726" t="s">
        <v>208</v>
      </c>
    </row>
    <row r="727" spans="1:12" x14ac:dyDescent="0.3">
      <c r="A727">
        <v>726</v>
      </c>
      <c r="B727">
        <v>0</v>
      </c>
      <c r="C727">
        <v>3</v>
      </c>
      <c r="D727" t="s">
        <v>1635</v>
      </c>
      <c r="E727" t="s">
        <v>206</v>
      </c>
      <c r="F727">
        <v>20</v>
      </c>
      <c r="G727">
        <v>0</v>
      </c>
      <c r="H727">
        <v>0</v>
      </c>
      <c r="I727" t="s">
        <v>1636</v>
      </c>
      <c r="J727">
        <v>8.6624999999999996</v>
      </c>
      <c r="K727" t="s">
        <v>22</v>
      </c>
      <c r="L727" t="s">
        <v>208</v>
      </c>
    </row>
    <row r="728" spans="1:12" x14ac:dyDescent="0.3">
      <c r="A728">
        <v>727</v>
      </c>
      <c r="B728">
        <v>1</v>
      </c>
      <c r="C728">
        <v>2</v>
      </c>
      <c r="D728" t="s">
        <v>1637</v>
      </c>
      <c r="E728" t="s">
        <v>210</v>
      </c>
      <c r="F728">
        <v>30</v>
      </c>
      <c r="G728">
        <v>3</v>
      </c>
      <c r="H728">
        <v>0</v>
      </c>
      <c r="I728" t="s">
        <v>1173</v>
      </c>
      <c r="J728">
        <v>21</v>
      </c>
      <c r="K728" t="s">
        <v>22</v>
      </c>
      <c r="L728" t="s">
        <v>208</v>
      </c>
    </row>
    <row r="729" spans="1:12" x14ac:dyDescent="0.3">
      <c r="A729">
        <v>728</v>
      </c>
      <c r="B729">
        <v>1</v>
      </c>
      <c r="C729">
        <v>3</v>
      </c>
      <c r="D729" t="s">
        <v>1638</v>
      </c>
      <c r="E729" t="s">
        <v>210</v>
      </c>
      <c r="G729">
        <v>0</v>
      </c>
      <c r="H729">
        <v>0</v>
      </c>
      <c r="I729" t="s">
        <v>1639</v>
      </c>
      <c r="J729">
        <v>7.7374999999999998</v>
      </c>
      <c r="K729" t="s">
        <v>22</v>
      </c>
      <c r="L729" t="s">
        <v>223</v>
      </c>
    </row>
    <row r="730" spans="1:12" x14ac:dyDescent="0.3">
      <c r="A730">
        <v>729</v>
      </c>
      <c r="B730">
        <v>0</v>
      </c>
      <c r="C730">
        <v>2</v>
      </c>
      <c r="D730" t="s">
        <v>1640</v>
      </c>
      <c r="E730" t="s">
        <v>206</v>
      </c>
      <c r="F730">
        <v>25</v>
      </c>
      <c r="G730">
        <v>1</v>
      </c>
      <c r="H730">
        <v>0</v>
      </c>
      <c r="I730" t="s">
        <v>1641</v>
      </c>
      <c r="J730">
        <v>26</v>
      </c>
      <c r="K730" t="s">
        <v>22</v>
      </c>
      <c r="L730" t="s">
        <v>208</v>
      </c>
    </row>
    <row r="731" spans="1:12" x14ac:dyDescent="0.3">
      <c r="A731">
        <v>730</v>
      </c>
      <c r="B731">
        <v>0</v>
      </c>
      <c r="C731">
        <v>3</v>
      </c>
      <c r="D731" t="s">
        <v>1642</v>
      </c>
      <c r="E731" t="s">
        <v>210</v>
      </c>
      <c r="F731">
        <v>25</v>
      </c>
      <c r="G731">
        <v>1</v>
      </c>
      <c r="H731">
        <v>0</v>
      </c>
      <c r="I731" t="s">
        <v>1643</v>
      </c>
      <c r="J731">
        <v>7.9249999999999998</v>
      </c>
      <c r="K731" t="s">
        <v>22</v>
      </c>
      <c r="L731" t="s">
        <v>208</v>
      </c>
    </row>
    <row r="732" spans="1:12" x14ac:dyDescent="0.3">
      <c r="A732">
        <v>731</v>
      </c>
      <c r="B732">
        <v>1</v>
      </c>
      <c r="C732">
        <v>1</v>
      </c>
      <c r="D732" t="s">
        <v>1644</v>
      </c>
      <c r="E732" t="s">
        <v>210</v>
      </c>
      <c r="F732">
        <v>29</v>
      </c>
      <c r="G732">
        <v>0</v>
      </c>
      <c r="H732">
        <v>0</v>
      </c>
      <c r="I732" t="s">
        <v>1566</v>
      </c>
      <c r="J732">
        <v>211.33750000000001</v>
      </c>
      <c r="K732" t="s">
        <v>1567</v>
      </c>
      <c r="L732" t="s">
        <v>208</v>
      </c>
    </row>
    <row r="733" spans="1:12" x14ac:dyDescent="0.3">
      <c r="A733">
        <v>732</v>
      </c>
      <c r="B733">
        <v>0</v>
      </c>
      <c r="C733">
        <v>3</v>
      </c>
      <c r="D733" t="s">
        <v>1645</v>
      </c>
      <c r="E733" t="s">
        <v>206</v>
      </c>
      <c r="F733">
        <v>11</v>
      </c>
      <c r="G733">
        <v>0</v>
      </c>
      <c r="H733">
        <v>0</v>
      </c>
      <c r="I733" t="s">
        <v>639</v>
      </c>
      <c r="J733">
        <v>18.787500000000001</v>
      </c>
      <c r="K733" t="s">
        <v>22</v>
      </c>
      <c r="L733" t="s">
        <v>213</v>
      </c>
    </row>
    <row r="734" spans="1:12" x14ac:dyDescent="0.3">
      <c r="A734">
        <v>733</v>
      </c>
      <c r="B734">
        <v>0</v>
      </c>
      <c r="C734">
        <v>2</v>
      </c>
      <c r="D734" t="s">
        <v>1646</v>
      </c>
      <c r="E734" t="s">
        <v>206</v>
      </c>
      <c r="G734">
        <v>0</v>
      </c>
      <c r="H734">
        <v>0</v>
      </c>
      <c r="I734" t="s">
        <v>1647</v>
      </c>
      <c r="J734">
        <v>0</v>
      </c>
      <c r="K734" t="s">
        <v>22</v>
      </c>
      <c r="L734" t="s">
        <v>208</v>
      </c>
    </row>
    <row r="735" spans="1:12" x14ac:dyDescent="0.3">
      <c r="A735">
        <v>734</v>
      </c>
      <c r="B735">
        <v>0</v>
      </c>
      <c r="C735">
        <v>2</v>
      </c>
      <c r="D735" t="s">
        <v>1648</v>
      </c>
      <c r="E735" t="s">
        <v>206</v>
      </c>
      <c r="F735">
        <v>23</v>
      </c>
      <c r="G735">
        <v>0</v>
      </c>
      <c r="H735">
        <v>0</v>
      </c>
      <c r="I735" t="s">
        <v>1649</v>
      </c>
      <c r="J735">
        <v>13</v>
      </c>
      <c r="K735" t="s">
        <v>22</v>
      </c>
      <c r="L735" t="s">
        <v>208</v>
      </c>
    </row>
    <row r="736" spans="1:12" x14ac:dyDescent="0.3">
      <c r="A736">
        <v>735</v>
      </c>
      <c r="B736">
        <v>0</v>
      </c>
      <c r="C736">
        <v>2</v>
      </c>
      <c r="D736" t="s">
        <v>1650</v>
      </c>
      <c r="E736" t="s">
        <v>206</v>
      </c>
      <c r="F736">
        <v>23</v>
      </c>
      <c r="G736">
        <v>0</v>
      </c>
      <c r="H736">
        <v>0</v>
      </c>
      <c r="I736" t="s">
        <v>1651</v>
      </c>
      <c r="J736">
        <v>13</v>
      </c>
      <c r="K736" t="s">
        <v>22</v>
      </c>
      <c r="L736" t="s">
        <v>208</v>
      </c>
    </row>
    <row r="737" spans="1:12" x14ac:dyDescent="0.3">
      <c r="A737">
        <v>736</v>
      </c>
      <c r="B737">
        <v>0</v>
      </c>
      <c r="C737">
        <v>3</v>
      </c>
      <c r="D737" t="s">
        <v>1652</v>
      </c>
      <c r="E737" t="s">
        <v>206</v>
      </c>
      <c r="F737">
        <v>28.5</v>
      </c>
      <c r="G737">
        <v>0</v>
      </c>
      <c r="H737">
        <v>0</v>
      </c>
      <c r="I737" t="s">
        <v>1448</v>
      </c>
      <c r="J737">
        <v>16.100000000000001</v>
      </c>
      <c r="K737" t="s">
        <v>22</v>
      </c>
      <c r="L737" t="s">
        <v>208</v>
      </c>
    </row>
    <row r="738" spans="1:12" x14ac:dyDescent="0.3">
      <c r="A738">
        <v>737</v>
      </c>
      <c r="B738">
        <v>0</v>
      </c>
      <c r="C738">
        <v>3</v>
      </c>
      <c r="D738" t="s">
        <v>1653</v>
      </c>
      <c r="E738" t="s">
        <v>210</v>
      </c>
      <c r="F738">
        <v>48</v>
      </c>
      <c r="G738">
        <v>1</v>
      </c>
      <c r="H738">
        <v>3</v>
      </c>
      <c r="I738" t="s">
        <v>397</v>
      </c>
      <c r="J738">
        <v>34.375</v>
      </c>
      <c r="K738" t="s">
        <v>22</v>
      </c>
      <c r="L738" t="s">
        <v>208</v>
      </c>
    </row>
    <row r="739" spans="1:12" x14ac:dyDescent="0.3">
      <c r="A739">
        <v>738</v>
      </c>
      <c r="B739">
        <v>1</v>
      </c>
      <c r="C739">
        <v>1</v>
      </c>
      <c r="D739" t="s">
        <v>1654</v>
      </c>
      <c r="E739" t="s">
        <v>206</v>
      </c>
      <c r="F739">
        <v>35</v>
      </c>
      <c r="G739">
        <v>0</v>
      </c>
      <c r="H739">
        <v>0</v>
      </c>
      <c r="I739" t="s">
        <v>744</v>
      </c>
      <c r="J739">
        <v>512.32920000000001</v>
      </c>
      <c r="K739" t="s">
        <v>1655</v>
      </c>
      <c r="L739" t="s">
        <v>213</v>
      </c>
    </row>
    <row r="740" spans="1:12" x14ac:dyDescent="0.3">
      <c r="A740">
        <v>739</v>
      </c>
      <c r="B740">
        <v>0</v>
      </c>
      <c r="C740">
        <v>3</v>
      </c>
      <c r="D740" t="s">
        <v>1656</v>
      </c>
      <c r="E740" t="s">
        <v>206</v>
      </c>
      <c r="G740">
        <v>0</v>
      </c>
      <c r="H740">
        <v>0</v>
      </c>
      <c r="I740" t="s">
        <v>1657</v>
      </c>
      <c r="J740">
        <v>7.8958000000000004</v>
      </c>
      <c r="K740" t="s">
        <v>22</v>
      </c>
      <c r="L740" t="s">
        <v>208</v>
      </c>
    </row>
    <row r="741" spans="1:12" x14ac:dyDescent="0.3">
      <c r="A741">
        <v>740</v>
      </c>
      <c r="B741">
        <v>0</v>
      </c>
      <c r="C741">
        <v>3</v>
      </c>
      <c r="D741" t="s">
        <v>1658</v>
      </c>
      <c r="E741" t="s">
        <v>206</v>
      </c>
      <c r="G741">
        <v>0</v>
      </c>
      <c r="H741">
        <v>0</v>
      </c>
      <c r="I741" t="s">
        <v>1659</v>
      </c>
      <c r="J741">
        <v>7.8958000000000004</v>
      </c>
      <c r="K741" t="s">
        <v>22</v>
      </c>
      <c r="L741" t="s">
        <v>208</v>
      </c>
    </row>
    <row r="742" spans="1:12" x14ac:dyDescent="0.3">
      <c r="A742">
        <v>741</v>
      </c>
      <c r="B742">
        <v>1</v>
      </c>
      <c r="C742">
        <v>1</v>
      </c>
      <c r="D742" t="s">
        <v>1660</v>
      </c>
      <c r="E742" t="s">
        <v>206</v>
      </c>
      <c r="G742">
        <v>0</v>
      </c>
      <c r="H742">
        <v>0</v>
      </c>
      <c r="I742" t="s">
        <v>1661</v>
      </c>
      <c r="J742">
        <v>30</v>
      </c>
      <c r="K742" t="s">
        <v>1662</v>
      </c>
      <c r="L742" t="s">
        <v>208</v>
      </c>
    </row>
    <row r="743" spans="1:12" x14ac:dyDescent="0.3">
      <c r="A743">
        <v>742</v>
      </c>
      <c r="B743">
        <v>0</v>
      </c>
      <c r="C743">
        <v>1</v>
      </c>
      <c r="D743" t="s">
        <v>1663</v>
      </c>
      <c r="E743" t="s">
        <v>206</v>
      </c>
      <c r="F743">
        <v>36</v>
      </c>
      <c r="G743">
        <v>1</v>
      </c>
      <c r="H743">
        <v>0</v>
      </c>
      <c r="I743" t="s">
        <v>811</v>
      </c>
      <c r="J743">
        <v>78.849999999999994</v>
      </c>
      <c r="K743" t="s">
        <v>1664</v>
      </c>
      <c r="L743" t="s">
        <v>208</v>
      </c>
    </row>
    <row r="744" spans="1:12" x14ac:dyDescent="0.3">
      <c r="A744">
        <v>743</v>
      </c>
      <c r="B744">
        <v>1</v>
      </c>
      <c r="C744">
        <v>1</v>
      </c>
      <c r="D744" t="s">
        <v>1665</v>
      </c>
      <c r="E744" t="s">
        <v>210</v>
      </c>
      <c r="F744">
        <v>21</v>
      </c>
      <c r="G744">
        <v>2</v>
      </c>
      <c r="H744">
        <v>2</v>
      </c>
      <c r="I744" t="s">
        <v>857</v>
      </c>
      <c r="J744">
        <v>262.375</v>
      </c>
      <c r="K744" t="s">
        <v>858</v>
      </c>
      <c r="L744" t="s">
        <v>213</v>
      </c>
    </row>
    <row r="745" spans="1:12" x14ac:dyDescent="0.3">
      <c r="A745">
        <v>744</v>
      </c>
      <c r="B745">
        <v>0</v>
      </c>
      <c r="C745">
        <v>3</v>
      </c>
      <c r="D745" t="s">
        <v>1666</v>
      </c>
      <c r="E745" t="s">
        <v>206</v>
      </c>
      <c r="F745">
        <v>24</v>
      </c>
      <c r="G745">
        <v>1</v>
      </c>
      <c r="H745">
        <v>0</v>
      </c>
      <c r="I745" t="s">
        <v>1667</v>
      </c>
      <c r="J745">
        <v>16.100000000000001</v>
      </c>
      <c r="K745" t="s">
        <v>22</v>
      </c>
      <c r="L745" t="s">
        <v>208</v>
      </c>
    </row>
    <row r="746" spans="1:12" x14ac:dyDescent="0.3">
      <c r="A746">
        <v>745</v>
      </c>
      <c r="B746">
        <v>1</v>
      </c>
      <c r="C746">
        <v>3</v>
      </c>
      <c r="D746" t="s">
        <v>1668</v>
      </c>
      <c r="E746" t="s">
        <v>206</v>
      </c>
      <c r="F746">
        <v>31</v>
      </c>
      <c r="G746">
        <v>0</v>
      </c>
      <c r="H746">
        <v>0</v>
      </c>
      <c r="I746" t="s">
        <v>1669</v>
      </c>
      <c r="J746">
        <v>7.9249999999999998</v>
      </c>
      <c r="K746" t="s">
        <v>22</v>
      </c>
      <c r="L746" t="s">
        <v>208</v>
      </c>
    </row>
    <row r="747" spans="1:12" x14ac:dyDescent="0.3">
      <c r="A747">
        <v>746</v>
      </c>
      <c r="B747">
        <v>0</v>
      </c>
      <c r="C747">
        <v>1</v>
      </c>
      <c r="D747" t="s">
        <v>1670</v>
      </c>
      <c r="E747" t="s">
        <v>206</v>
      </c>
      <c r="F747">
        <v>70</v>
      </c>
      <c r="G747">
        <v>1</v>
      </c>
      <c r="H747">
        <v>1</v>
      </c>
      <c r="I747" t="s">
        <v>1296</v>
      </c>
      <c r="J747">
        <v>71</v>
      </c>
      <c r="K747" t="s">
        <v>1297</v>
      </c>
      <c r="L747" t="s">
        <v>208</v>
      </c>
    </row>
    <row r="748" spans="1:12" x14ac:dyDescent="0.3">
      <c r="A748">
        <v>747</v>
      </c>
      <c r="B748">
        <v>0</v>
      </c>
      <c r="C748">
        <v>3</v>
      </c>
      <c r="D748" t="s">
        <v>1671</v>
      </c>
      <c r="E748" t="s">
        <v>206</v>
      </c>
      <c r="F748">
        <v>16</v>
      </c>
      <c r="G748">
        <v>1</v>
      </c>
      <c r="H748">
        <v>1</v>
      </c>
      <c r="I748" t="s">
        <v>788</v>
      </c>
      <c r="J748">
        <v>20.25</v>
      </c>
      <c r="K748" t="s">
        <v>22</v>
      </c>
      <c r="L748" t="s">
        <v>208</v>
      </c>
    </row>
    <row r="749" spans="1:12" x14ac:dyDescent="0.3">
      <c r="A749">
        <v>748</v>
      </c>
      <c r="B749">
        <v>1</v>
      </c>
      <c r="C749">
        <v>2</v>
      </c>
      <c r="D749" t="s">
        <v>1672</v>
      </c>
      <c r="E749" t="s">
        <v>210</v>
      </c>
      <c r="F749">
        <v>30</v>
      </c>
      <c r="G749">
        <v>0</v>
      </c>
      <c r="H749">
        <v>0</v>
      </c>
      <c r="I749" t="s">
        <v>1673</v>
      </c>
      <c r="J749">
        <v>13</v>
      </c>
      <c r="K749" t="s">
        <v>22</v>
      </c>
      <c r="L749" t="s">
        <v>208</v>
      </c>
    </row>
    <row r="750" spans="1:12" x14ac:dyDescent="0.3">
      <c r="A750">
        <v>749</v>
      </c>
      <c r="B750">
        <v>0</v>
      </c>
      <c r="C750">
        <v>1</v>
      </c>
      <c r="D750" t="s">
        <v>1674</v>
      </c>
      <c r="E750" t="s">
        <v>206</v>
      </c>
      <c r="F750">
        <v>19</v>
      </c>
      <c r="G750">
        <v>1</v>
      </c>
      <c r="H750">
        <v>0</v>
      </c>
      <c r="I750" t="s">
        <v>1675</v>
      </c>
      <c r="J750">
        <v>53.1</v>
      </c>
      <c r="K750" t="s">
        <v>1676</v>
      </c>
      <c r="L750" t="s">
        <v>208</v>
      </c>
    </row>
    <row r="751" spans="1:12" x14ac:dyDescent="0.3">
      <c r="A751">
        <v>750</v>
      </c>
      <c r="B751">
        <v>0</v>
      </c>
      <c r="C751">
        <v>3</v>
      </c>
      <c r="D751" t="s">
        <v>1677</v>
      </c>
      <c r="E751" t="s">
        <v>206</v>
      </c>
      <c r="F751">
        <v>31</v>
      </c>
      <c r="G751">
        <v>0</v>
      </c>
      <c r="H751">
        <v>0</v>
      </c>
      <c r="I751" t="s">
        <v>1678</v>
      </c>
      <c r="J751">
        <v>7.75</v>
      </c>
      <c r="K751" t="s">
        <v>22</v>
      </c>
      <c r="L751" t="s">
        <v>223</v>
      </c>
    </row>
    <row r="752" spans="1:12" x14ac:dyDescent="0.3">
      <c r="A752">
        <v>751</v>
      </c>
      <c r="B752">
        <v>1</v>
      </c>
      <c r="C752">
        <v>2</v>
      </c>
      <c r="D752" t="s">
        <v>1679</v>
      </c>
      <c r="E752" t="s">
        <v>210</v>
      </c>
      <c r="F752">
        <v>4</v>
      </c>
      <c r="G752">
        <v>1</v>
      </c>
      <c r="H752">
        <v>1</v>
      </c>
      <c r="I752" t="s">
        <v>1680</v>
      </c>
      <c r="J752">
        <v>23</v>
      </c>
      <c r="K752" t="s">
        <v>22</v>
      </c>
      <c r="L752" t="s">
        <v>208</v>
      </c>
    </row>
    <row r="753" spans="1:12" x14ac:dyDescent="0.3">
      <c r="A753">
        <v>752</v>
      </c>
      <c r="B753">
        <v>1</v>
      </c>
      <c r="C753">
        <v>3</v>
      </c>
      <c r="D753" t="s">
        <v>1681</v>
      </c>
      <c r="E753" t="s">
        <v>206</v>
      </c>
      <c r="F753">
        <v>6</v>
      </c>
      <c r="G753">
        <v>0</v>
      </c>
      <c r="H753">
        <v>1</v>
      </c>
      <c r="I753" t="s">
        <v>1682</v>
      </c>
      <c r="J753">
        <v>12.475</v>
      </c>
      <c r="K753" t="s">
        <v>1683</v>
      </c>
      <c r="L753" t="s">
        <v>208</v>
      </c>
    </row>
    <row r="754" spans="1:12" x14ac:dyDescent="0.3">
      <c r="A754">
        <v>753</v>
      </c>
      <c r="B754">
        <v>0</v>
      </c>
      <c r="C754">
        <v>3</v>
      </c>
      <c r="D754" t="s">
        <v>1684</v>
      </c>
      <c r="E754" t="s">
        <v>206</v>
      </c>
      <c r="F754">
        <v>33</v>
      </c>
      <c r="G754">
        <v>0</v>
      </c>
      <c r="H754">
        <v>0</v>
      </c>
      <c r="I754" t="s">
        <v>1685</v>
      </c>
      <c r="J754">
        <v>9.5</v>
      </c>
      <c r="K754" t="s">
        <v>22</v>
      </c>
      <c r="L754" t="s">
        <v>208</v>
      </c>
    </row>
    <row r="755" spans="1:12" x14ac:dyDescent="0.3">
      <c r="A755">
        <v>754</v>
      </c>
      <c r="B755">
        <v>0</v>
      </c>
      <c r="C755">
        <v>3</v>
      </c>
      <c r="D755" t="s">
        <v>1686</v>
      </c>
      <c r="E755" t="s">
        <v>206</v>
      </c>
      <c r="F755">
        <v>23</v>
      </c>
      <c r="G755">
        <v>0</v>
      </c>
      <c r="H755">
        <v>0</v>
      </c>
      <c r="I755" t="s">
        <v>1687</v>
      </c>
      <c r="J755">
        <v>7.8958000000000004</v>
      </c>
      <c r="K755" t="s">
        <v>22</v>
      </c>
      <c r="L755" t="s">
        <v>208</v>
      </c>
    </row>
    <row r="756" spans="1:12" x14ac:dyDescent="0.3">
      <c r="A756">
        <v>755</v>
      </c>
      <c r="B756">
        <v>1</v>
      </c>
      <c r="C756">
        <v>2</v>
      </c>
      <c r="D756" t="s">
        <v>1688</v>
      </c>
      <c r="E756" t="s">
        <v>210</v>
      </c>
      <c r="F756">
        <v>48</v>
      </c>
      <c r="G756">
        <v>1</v>
      </c>
      <c r="H756">
        <v>2</v>
      </c>
      <c r="I756" t="s">
        <v>1433</v>
      </c>
      <c r="J756">
        <v>65</v>
      </c>
      <c r="K756" t="s">
        <v>22</v>
      </c>
      <c r="L756" t="s">
        <v>208</v>
      </c>
    </row>
    <row r="757" spans="1:12" x14ac:dyDescent="0.3">
      <c r="A757">
        <v>756</v>
      </c>
      <c r="B757">
        <v>1</v>
      </c>
      <c r="C757">
        <v>2</v>
      </c>
      <c r="D757" t="s">
        <v>1689</v>
      </c>
      <c r="E757" t="s">
        <v>206</v>
      </c>
      <c r="F757">
        <v>0.67</v>
      </c>
      <c r="G757">
        <v>1</v>
      </c>
      <c r="H757">
        <v>1</v>
      </c>
      <c r="I757" t="s">
        <v>720</v>
      </c>
      <c r="J757">
        <v>14.5</v>
      </c>
      <c r="K757" t="s">
        <v>22</v>
      </c>
      <c r="L757" t="s">
        <v>208</v>
      </c>
    </row>
    <row r="758" spans="1:12" x14ac:dyDescent="0.3">
      <c r="A758">
        <v>757</v>
      </c>
      <c r="B758">
        <v>0</v>
      </c>
      <c r="C758">
        <v>3</v>
      </c>
      <c r="D758" t="s">
        <v>1690</v>
      </c>
      <c r="E758" t="s">
        <v>206</v>
      </c>
      <c r="F758">
        <v>28</v>
      </c>
      <c r="G758">
        <v>0</v>
      </c>
      <c r="H758">
        <v>0</v>
      </c>
      <c r="I758" t="s">
        <v>1691</v>
      </c>
      <c r="J758">
        <v>7.7957999999999998</v>
      </c>
      <c r="K758" t="s">
        <v>22</v>
      </c>
      <c r="L758" t="s">
        <v>208</v>
      </c>
    </row>
    <row r="759" spans="1:12" x14ac:dyDescent="0.3">
      <c r="A759">
        <v>758</v>
      </c>
      <c r="B759">
        <v>0</v>
      </c>
      <c r="C759">
        <v>2</v>
      </c>
      <c r="D759" t="s">
        <v>1692</v>
      </c>
      <c r="E759" t="s">
        <v>206</v>
      </c>
      <c r="F759">
        <v>18</v>
      </c>
      <c r="G759">
        <v>0</v>
      </c>
      <c r="H759">
        <v>0</v>
      </c>
      <c r="I759" t="s">
        <v>1693</v>
      </c>
      <c r="J759">
        <v>11.5</v>
      </c>
      <c r="K759" t="s">
        <v>22</v>
      </c>
      <c r="L759" t="s">
        <v>208</v>
      </c>
    </row>
    <row r="760" spans="1:12" x14ac:dyDescent="0.3">
      <c r="A760">
        <v>759</v>
      </c>
      <c r="B760">
        <v>0</v>
      </c>
      <c r="C760">
        <v>3</v>
      </c>
      <c r="D760" t="s">
        <v>1694</v>
      </c>
      <c r="E760" t="s">
        <v>206</v>
      </c>
      <c r="F760">
        <v>34</v>
      </c>
      <c r="G760">
        <v>0</v>
      </c>
      <c r="H760">
        <v>0</v>
      </c>
      <c r="I760" t="s">
        <v>1695</v>
      </c>
      <c r="J760">
        <v>8.0500000000000007</v>
      </c>
      <c r="K760" t="s">
        <v>22</v>
      </c>
      <c r="L760" t="s">
        <v>208</v>
      </c>
    </row>
    <row r="761" spans="1:12" x14ac:dyDescent="0.3">
      <c r="A761">
        <v>760</v>
      </c>
      <c r="B761">
        <v>1</v>
      </c>
      <c r="C761">
        <v>1</v>
      </c>
      <c r="D761" t="s">
        <v>1696</v>
      </c>
      <c r="E761" t="s">
        <v>210</v>
      </c>
      <c r="F761">
        <v>33</v>
      </c>
      <c r="G761">
        <v>0</v>
      </c>
      <c r="H761">
        <v>0</v>
      </c>
      <c r="I761" t="s">
        <v>741</v>
      </c>
      <c r="J761">
        <v>86.5</v>
      </c>
      <c r="K761" t="s">
        <v>742</v>
      </c>
      <c r="L761" t="s">
        <v>208</v>
      </c>
    </row>
    <row r="762" spans="1:12" x14ac:dyDescent="0.3">
      <c r="A762">
        <v>761</v>
      </c>
      <c r="B762">
        <v>0</v>
      </c>
      <c r="C762">
        <v>3</v>
      </c>
      <c r="D762" t="s">
        <v>1697</v>
      </c>
      <c r="E762" t="s">
        <v>206</v>
      </c>
      <c r="G762">
        <v>0</v>
      </c>
      <c r="H762">
        <v>0</v>
      </c>
      <c r="I762" t="s">
        <v>1361</v>
      </c>
      <c r="J762">
        <v>14.5</v>
      </c>
      <c r="K762" t="s">
        <v>22</v>
      </c>
      <c r="L762" t="s">
        <v>208</v>
      </c>
    </row>
    <row r="763" spans="1:12" x14ac:dyDescent="0.3">
      <c r="A763">
        <v>762</v>
      </c>
      <c r="B763">
        <v>0</v>
      </c>
      <c r="C763">
        <v>3</v>
      </c>
      <c r="D763" t="s">
        <v>1698</v>
      </c>
      <c r="E763" t="s">
        <v>206</v>
      </c>
      <c r="F763">
        <v>41</v>
      </c>
      <c r="G763">
        <v>0</v>
      </c>
      <c r="H763">
        <v>0</v>
      </c>
      <c r="I763" t="s">
        <v>1699</v>
      </c>
      <c r="J763">
        <v>7.125</v>
      </c>
      <c r="K763" t="s">
        <v>22</v>
      </c>
      <c r="L763" t="s">
        <v>208</v>
      </c>
    </row>
    <row r="764" spans="1:12" x14ac:dyDescent="0.3">
      <c r="A764">
        <v>763</v>
      </c>
      <c r="B764">
        <v>1</v>
      </c>
      <c r="C764">
        <v>3</v>
      </c>
      <c r="D764" t="s">
        <v>1700</v>
      </c>
      <c r="E764" t="s">
        <v>206</v>
      </c>
      <c r="F764">
        <v>20</v>
      </c>
      <c r="G764">
        <v>0</v>
      </c>
      <c r="H764">
        <v>0</v>
      </c>
      <c r="I764" t="s">
        <v>1701</v>
      </c>
      <c r="J764">
        <v>7.2291999999999996</v>
      </c>
      <c r="K764" t="s">
        <v>22</v>
      </c>
      <c r="L764" t="s">
        <v>213</v>
      </c>
    </row>
    <row r="765" spans="1:12" x14ac:dyDescent="0.3">
      <c r="A765">
        <v>764</v>
      </c>
      <c r="B765">
        <v>1</v>
      </c>
      <c r="C765">
        <v>1</v>
      </c>
      <c r="D765" t="s">
        <v>1702</v>
      </c>
      <c r="E765" t="s">
        <v>210</v>
      </c>
      <c r="F765">
        <v>36</v>
      </c>
      <c r="G765">
        <v>1</v>
      </c>
      <c r="H765">
        <v>2</v>
      </c>
      <c r="I765" t="s">
        <v>1007</v>
      </c>
      <c r="J765">
        <v>120</v>
      </c>
      <c r="K765" t="s">
        <v>1008</v>
      </c>
      <c r="L765" t="s">
        <v>208</v>
      </c>
    </row>
    <row r="766" spans="1:12" x14ac:dyDescent="0.3">
      <c r="A766">
        <v>765</v>
      </c>
      <c r="B766">
        <v>0</v>
      </c>
      <c r="C766">
        <v>3</v>
      </c>
      <c r="D766" t="s">
        <v>1703</v>
      </c>
      <c r="E766" t="s">
        <v>206</v>
      </c>
      <c r="F766">
        <v>16</v>
      </c>
      <c r="G766">
        <v>0</v>
      </c>
      <c r="H766">
        <v>0</v>
      </c>
      <c r="I766" t="s">
        <v>1704</v>
      </c>
      <c r="J766">
        <v>7.7750000000000004</v>
      </c>
      <c r="K766" t="s">
        <v>22</v>
      </c>
      <c r="L766" t="s">
        <v>208</v>
      </c>
    </row>
    <row r="767" spans="1:12" x14ac:dyDescent="0.3">
      <c r="A767">
        <v>766</v>
      </c>
      <c r="B767">
        <v>1</v>
      </c>
      <c r="C767">
        <v>1</v>
      </c>
      <c r="D767" t="s">
        <v>1705</v>
      </c>
      <c r="E767" t="s">
        <v>210</v>
      </c>
      <c r="F767">
        <v>51</v>
      </c>
      <c r="G767">
        <v>1</v>
      </c>
      <c r="H767">
        <v>0</v>
      </c>
      <c r="I767" t="s">
        <v>780</v>
      </c>
      <c r="J767">
        <v>77.958299999999994</v>
      </c>
      <c r="K767" t="s">
        <v>1706</v>
      </c>
      <c r="L767" t="s">
        <v>208</v>
      </c>
    </row>
    <row r="768" spans="1:12" x14ac:dyDescent="0.3">
      <c r="A768">
        <v>767</v>
      </c>
      <c r="B768">
        <v>0</v>
      </c>
      <c r="C768">
        <v>1</v>
      </c>
      <c r="D768" t="s">
        <v>1707</v>
      </c>
      <c r="E768" t="s">
        <v>206</v>
      </c>
      <c r="G768">
        <v>0</v>
      </c>
      <c r="H768">
        <v>0</v>
      </c>
      <c r="I768" t="s">
        <v>1708</v>
      </c>
      <c r="J768">
        <v>39.6</v>
      </c>
      <c r="K768" t="s">
        <v>22</v>
      </c>
      <c r="L768" t="s">
        <v>213</v>
      </c>
    </row>
    <row r="769" spans="1:12" x14ac:dyDescent="0.3">
      <c r="A769">
        <v>768</v>
      </c>
      <c r="B769">
        <v>0</v>
      </c>
      <c r="C769">
        <v>3</v>
      </c>
      <c r="D769" t="s">
        <v>1709</v>
      </c>
      <c r="E769" t="s">
        <v>210</v>
      </c>
      <c r="F769">
        <v>30.5</v>
      </c>
      <c r="G769">
        <v>0</v>
      </c>
      <c r="H769">
        <v>0</v>
      </c>
      <c r="I769" t="s">
        <v>1710</v>
      </c>
      <c r="J769">
        <v>7.75</v>
      </c>
      <c r="K769" t="s">
        <v>22</v>
      </c>
      <c r="L769" t="s">
        <v>223</v>
      </c>
    </row>
    <row r="770" spans="1:12" x14ac:dyDescent="0.3">
      <c r="A770">
        <v>769</v>
      </c>
      <c r="B770">
        <v>0</v>
      </c>
      <c r="C770">
        <v>3</v>
      </c>
      <c r="D770" t="s">
        <v>1711</v>
      </c>
      <c r="E770" t="s">
        <v>206</v>
      </c>
      <c r="G770">
        <v>1</v>
      </c>
      <c r="H770">
        <v>0</v>
      </c>
      <c r="I770" t="s">
        <v>446</v>
      </c>
      <c r="J770">
        <v>24.15</v>
      </c>
      <c r="K770" t="s">
        <v>22</v>
      </c>
      <c r="L770" t="s">
        <v>223</v>
      </c>
    </row>
    <row r="771" spans="1:12" x14ac:dyDescent="0.3">
      <c r="A771">
        <v>770</v>
      </c>
      <c r="B771">
        <v>0</v>
      </c>
      <c r="C771">
        <v>3</v>
      </c>
      <c r="D771" t="s">
        <v>1712</v>
      </c>
      <c r="E771" t="s">
        <v>206</v>
      </c>
      <c r="F771">
        <v>32</v>
      </c>
      <c r="G771">
        <v>0</v>
      </c>
      <c r="H771">
        <v>0</v>
      </c>
      <c r="I771" t="s">
        <v>1713</v>
      </c>
      <c r="J771">
        <v>8.3625000000000007</v>
      </c>
      <c r="K771" t="s">
        <v>22</v>
      </c>
      <c r="L771" t="s">
        <v>208</v>
      </c>
    </row>
    <row r="772" spans="1:12" x14ac:dyDescent="0.3">
      <c r="A772">
        <v>771</v>
      </c>
      <c r="B772">
        <v>0</v>
      </c>
      <c r="C772">
        <v>3</v>
      </c>
      <c r="D772" t="s">
        <v>1714</v>
      </c>
      <c r="E772" t="s">
        <v>206</v>
      </c>
      <c r="F772">
        <v>24</v>
      </c>
      <c r="G772">
        <v>0</v>
      </c>
      <c r="H772">
        <v>0</v>
      </c>
      <c r="I772" t="s">
        <v>1715</v>
      </c>
      <c r="J772">
        <v>9.5</v>
      </c>
      <c r="K772" t="s">
        <v>22</v>
      </c>
      <c r="L772" t="s">
        <v>208</v>
      </c>
    </row>
    <row r="773" spans="1:12" x14ac:dyDescent="0.3">
      <c r="A773">
        <v>772</v>
      </c>
      <c r="B773">
        <v>0</v>
      </c>
      <c r="C773">
        <v>3</v>
      </c>
      <c r="D773" t="s">
        <v>1716</v>
      </c>
      <c r="E773" t="s">
        <v>206</v>
      </c>
      <c r="F773">
        <v>48</v>
      </c>
      <c r="G773">
        <v>0</v>
      </c>
      <c r="H773">
        <v>0</v>
      </c>
      <c r="I773" t="s">
        <v>1717</v>
      </c>
      <c r="J773">
        <v>7.8541999999999996</v>
      </c>
      <c r="K773" t="s">
        <v>22</v>
      </c>
      <c r="L773" t="s">
        <v>208</v>
      </c>
    </row>
    <row r="774" spans="1:12" x14ac:dyDescent="0.3">
      <c r="A774">
        <v>773</v>
      </c>
      <c r="B774">
        <v>0</v>
      </c>
      <c r="C774">
        <v>2</v>
      </c>
      <c r="D774" t="s">
        <v>1718</v>
      </c>
      <c r="E774" t="s">
        <v>210</v>
      </c>
      <c r="F774">
        <v>57</v>
      </c>
      <c r="G774">
        <v>0</v>
      </c>
      <c r="H774">
        <v>0</v>
      </c>
      <c r="I774" t="s">
        <v>1719</v>
      </c>
      <c r="J774">
        <v>10.5</v>
      </c>
      <c r="K774" t="s">
        <v>1720</v>
      </c>
      <c r="L774" t="s">
        <v>208</v>
      </c>
    </row>
    <row r="775" spans="1:12" x14ac:dyDescent="0.3">
      <c r="A775">
        <v>774</v>
      </c>
      <c r="B775">
        <v>0</v>
      </c>
      <c r="C775">
        <v>3</v>
      </c>
      <c r="D775" t="s">
        <v>1721</v>
      </c>
      <c r="E775" t="s">
        <v>206</v>
      </c>
      <c r="G775">
        <v>0</v>
      </c>
      <c r="H775">
        <v>0</v>
      </c>
      <c r="I775" t="s">
        <v>1722</v>
      </c>
      <c r="J775">
        <v>7.2249999999999996</v>
      </c>
      <c r="K775" t="s">
        <v>22</v>
      </c>
      <c r="L775" t="s">
        <v>213</v>
      </c>
    </row>
    <row r="776" spans="1:12" x14ac:dyDescent="0.3">
      <c r="A776">
        <v>775</v>
      </c>
      <c r="B776">
        <v>1</v>
      </c>
      <c r="C776">
        <v>2</v>
      </c>
      <c r="D776" t="s">
        <v>1723</v>
      </c>
      <c r="E776" t="s">
        <v>210</v>
      </c>
      <c r="F776">
        <v>54</v>
      </c>
      <c r="G776">
        <v>1</v>
      </c>
      <c r="H776">
        <v>3</v>
      </c>
      <c r="I776" t="s">
        <v>1724</v>
      </c>
      <c r="J776">
        <v>23</v>
      </c>
      <c r="K776" t="s">
        <v>22</v>
      </c>
      <c r="L776" t="s">
        <v>208</v>
      </c>
    </row>
    <row r="777" spans="1:12" x14ac:dyDescent="0.3">
      <c r="A777">
        <v>776</v>
      </c>
      <c r="B777">
        <v>0</v>
      </c>
      <c r="C777">
        <v>3</v>
      </c>
      <c r="D777" t="s">
        <v>1725</v>
      </c>
      <c r="E777" t="s">
        <v>206</v>
      </c>
      <c r="F777">
        <v>18</v>
      </c>
      <c r="G777">
        <v>0</v>
      </c>
      <c r="H777">
        <v>0</v>
      </c>
      <c r="I777" t="s">
        <v>1726</v>
      </c>
      <c r="J777">
        <v>7.75</v>
      </c>
      <c r="K777" t="s">
        <v>22</v>
      </c>
      <c r="L777" t="s">
        <v>208</v>
      </c>
    </row>
    <row r="778" spans="1:12" x14ac:dyDescent="0.3">
      <c r="A778">
        <v>777</v>
      </c>
      <c r="B778">
        <v>0</v>
      </c>
      <c r="C778">
        <v>3</v>
      </c>
      <c r="D778" t="s">
        <v>1727</v>
      </c>
      <c r="E778" t="s">
        <v>206</v>
      </c>
      <c r="G778">
        <v>0</v>
      </c>
      <c r="H778">
        <v>0</v>
      </c>
      <c r="I778" t="s">
        <v>1728</v>
      </c>
      <c r="J778">
        <v>7.75</v>
      </c>
      <c r="K778" t="s">
        <v>1729</v>
      </c>
      <c r="L778" t="s">
        <v>223</v>
      </c>
    </row>
    <row r="779" spans="1:12" x14ac:dyDescent="0.3">
      <c r="A779">
        <v>778</v>
      </c>
      <c r="B779">
        <v>1</v>
      </c>
      <c r="C779">
        <v>3</v>
      </c>
      <c r="D779" t="s">
        <v>1730</v>
      </c>
      <c r="E779" t="s">
        <v>210</v>
      </c>
      <c r="F779">
        <v>5</v>
      </c>
      <c r="G779">
        <v>0</v>
      </c>
      <c r="H779">
        <v>0</v>
      </c>
      <c r="I779" t="s">
        <v>383</v>
      </c>
      <c r="J779">
        <v>12.475</v>
      </c>
      <c r="K779" t="s">
        <v>22</v>
      </c>
      <c r="L779" t="s">
        <v>208</v>
      </c>
    </row>
    <row r="780" spans="1:12" x14ac:dyDescent="0.3">
      <c r="A780">
        <v>779</v>
      </c>
      <c r="B780">
        <v>0</v>
      </c>
      <c r="C780">
        <v>3</v>
      </c>
      <c r="D780" t="s">
        <v>1731</v>
      </c>
      <c r="E780" t="s">
        <v>206</v>
      </c>
      <c r="G780">
        <v>0</v>
      </c>
      <c r="H780">
        <v>0</v>
      </c>
      <c r="I780" t="s">
        <v>1732</v>
      </c>
      <c r="J780">
        <v>7.7374999999999998</v>
      </c>
      <c r="K780" t="s">
        <v>22</v>
      </c>
      <c r="L780" t="s">
        <v>223</v>
      </c>
    </row>
    <row r="781" spans="1:12" x14ac:dyDescent="0.3">
      <c r="A781">
        <v>780</v>
      </c>
      <c r="B781">
        <v>1</v>
      </c>
      <c r="C781">
        <v>1</v>
      </c>
      <c r="D781" t="s">
        <v>1733</v>
      </c>
      <c r="E781" t="s">
        <v>210</v>
      </c>
      <c r="F781">
        <v>43</v>
      </c>
      <c r="G781">
        <v>0</v>
      </c>
      <c r="H781">
        <v>1</v>
      </c>
      <c r="I781" t="s">
        <v>1566</v>
      </c>
      <c r="J781">
        <v>211.33750000000001</v>
      </c>
      <c r="K781" t="s">
        <v>1734</v>
      </c>
      <c r="L781" t="s">
        <v>208</v>
      </c>
    </row>
    <row r="782" spans="1:12" x14ac:dyDescent="0.3">
      <c r="A782">
        <v>781</v>
      </c>
      <c r="B782">
        <v>1</v>
      </c>
      <c r="C782">
        <v>3</v>
      </c>
      <c r="D782" t="s">
        <v>1735</v>
      </c>
      <c r="E782" t="s">
        <v>210</v>
      </c>
      <c r="F782">
        <v>13</v>
      </c>
      <c r="G782">
        <v>0</v>
      </c>
      <c r="H782">
        <v>0</v>
      </c>
      <c r="I782" t="s">
        <v>1736</v>
      </c>
      <c r="J782">
        <v>7.2291999999999996</v>
      </c>
      <c r="K782" t="s">
        <v>22</v>
      </c>
      <c r="L782" t="s">
        <v>213</v>
      </c>
    </row>
    <row r="783" spans="1:12" x14ac:dyDescent="0.3">
      <c r="A783">
        <v>782</v>
      </c>
      <c r="B783">
        <v>1</v>
      </c>
      <c r="C783">
        <v>1</v>
      </c>
      <c r="D783" t="s">
        <v>1737</v>
      </c>
      <c r="E783" t="s">
        <v>210</v>
      </c>
      <c r="F783">
        <v>17</v>
      </c>
      <c r="G783">
        <v>1</v>
      </c>
      <c r="H783">
        <v>0</v>
      </c>
      <c r="I783" t="s">
        <v>1569</v>
      </c>
      <c r="J783">
        <v>57</v>
      </c>
      <c r="K783" t="s">
        <v>1570</v>
      </c>
      <c r="L783" t="s">
        <v>208</v>
      </c>
    </row>
    <row r="784" spans="1:12" x14ac:dyDescent="0.3">
      <c r="A784">
        <v>783</v>
      </c>
      <c r="B784">
        <v>0</v>
      </c>
      <c r="C784">
        <v>1</v>
      </c>
      <c r="D784" t="s">
        <v>1738</v>
      </c>
      <c r="E784" t="s">
        <v>206</v>
      </c>
      <c r="F784">
        <v>29</v>
      </c>
      <c r="G784">
        <v>0</v>
      </c>
      <c r="H784">
        <v>0</v>
      </c>
      <c r="I784" t="s">
        <v>1739</v>
      </c>
      <c r="J784">
        <v>30</v>
      </c>
      <c r="K784" t="s">
        <v>1740</v>
      </c>
      <c r="L784" t="s">
        <v>208</v>
      </c>
    </row>
    <row r="785" spans="1:12" x14ac:dyDescent="0.3">
      <c r="A785">
        <v>784</v>
      </c>
      <c r="B785">
        <v>0</v>
      </c>
      <c r="C785">
        <v>3</v>
      </c>
      <c r="D785" t="s">
        <v>1741</v>
      </c>
      <c r="E785" t="s">
        <v>206</v>
      </c>
      <c r="G785">
        <v>1</v>
      </c>
      <c r="H785">
        <v>2</v>
      </c>
      <c r="I785" t="s">
        <v>1742</v>
      </c>
      <c r="J785">
        <v>23.45</v>
      </c>
      <c r="K785" t="s">
        <v>22</v>
      </c>
      <c r="L785" t="s">
        <v>208</v>
      </c>
    </row>
    <row r="786" spans="1:12" x14ac:dyDescent="0.3">
      <c r="A786">
        <v>785</v>
      </c>
      <c r="B786">
        <v>0</v>
      </c>
      <c r="C786">
        <v>3</v>
      </c>
      <c r="D786" t="s">
        <v>1743</v>
      </c>
      <c r="E786" t="s">
        <v>206</v>
      </c>
      <c r="F786">
        <v>25</v>
      </c>
      <c r="G786">
        <v>0</v>
      </c>
      <c r="H786">
        <v>0</v>
      </c>
      <c r="I786" t="s">
        <v>1744</v>
      </c>
      <c r="J786">
        <v>7.05</v>
      </c>
      <c r="K786" t="s">
        <v>22</v>
      </c>
      <c r="L786" t="s">
        <v>208</v>
      </c>
    </row>
    <row r="787" spans="1:12" x14ac:dyDescent="0.3">
      <c r="A787">
        <v>786</v>
      </c>
      <c r="B787">
        <v>0</v>
      </c>
      <c r="C787">
        <v>3</v>
      </c>
      <c r="D787" t="s">
        <v>1745</v>
      </c>
      <c r="E787" t="s">
        <v>206</v>
      </c>
      <c r="F787">
        <v>25</v>
      </c>
      <c r="G787">
        <v>0</v>
      </c>
      <c r="H787">
        <v>0</v>
      </c>
      <c r="I787" t="s">
        <v>1746</v>
      </c>
      <c r="J787">
        <v>7.25</v>
      </c>
      <c r="K787" t="s">
        <v>22</v>
      </c>
      <c r="L787" t="s">
        <v>208</v>
      </c>
    </row>
    <row r="788" spans="1:12" x14ac:dyDescent="0.3">
      <c r="A788">
        <v>787</v>
      </c>
      <c r="B788">
        <v>1</v>
      </c>
      <c r="C788">
        <v>3</v>
      </c>
      <c r="D788" t="s">
        <v>1747</v>
      </c>
      <c r="E788" t="s">
        <v>210</v>
      </c>
      <c r="F788">
        <v>18</v>
      </c>
      <c r="G788">
        <v>0</v>
      </c>
      <c r="H788">
        <v>0</v>
      </c>
      <c r="I788" t="s">
        <v>1748</v>
      </c>
      <c r="J788">
        <v>7.4958</v>
      </c>
      <c r="K788" t="s">
        <v>22</v>
      </c>
      <c r="L788" t="s">
        <v>208</v>
      </c>
    </row>
    <row r="789" spans="1:12" x14ac:dyDescent="0.3">
      <c r="A789">
        <v>788</v>
      </c>
      <c r="B789">
        <v>0</v>
      </c>
      <c r="C789">
        <v>3</v>
      </c>
      <c r="D789" t="s">
        <v>1749</v>
      </c>
      <c r="E789" t="s">
        <v>206</v>
      </c>
      <c r="F789">
        <v>8</v>
      </c>
      <c r="G789">
        <v>4</v>
      </c>
      <c r="H789">
        <v>1</v>
      </c>
      <c r="I789" t="s">
        <v>248</v>
      </c>
      <c r="J789">
        <v>29.125</v>
      </c>
      <c r="K789" t="s">
        <v>22</v>
      </c>
      <c r="L789" t="s">
        <v>223</v>
      </c>
    </row>
    <row r="790" spans="1:12" x14ac:dyDescent="0.3">
      <c r="A790">
        <v>789</v>
      </c>
      <c r="B790">
        <v>1</v>
      </c>
      <c r="C790">
        <v>3</v>
      </c>
      <c r="D790" t="s">
        <v>1750</v>
      </c>
      <c r="E790" t="s">
        <v>206</v>
      </c>
      <c r="F790">
        <v>1</v>
      </c>
      <c r="G790">
        <v>1</v>
      </c>
      <c r="H790">
        <v>2</v>
      </c>
      <c r="I790" t="s">
        <v>411</v>
      </c>
      <c r="J790">
        <v>20.574999999999999</v>
      </c>
      <c r="K790" t="s">
        <v>22</v>
      </c>
      <c r="L790" t="s">
        <v>208</v>
      </c>
    </row>
    <row r="791" spans="1:12" x14ac:dyDescent="0.3">
      <c r="A791">
        <v>790</v>
      </c>
      <c r="B791">
        <v>0</v>
      </c>
      <c r="C791">
        <v>1</v>
      </c>
      <c r="D791" t="s">
        <v>1751</v>
      </c>
      <c r="E791" t="s">
        <v>206</v>
      </c>
      <c r="F791">
        <v>46</v>
      </c>
      <c r="G791">
        <v>0</v>
      </c>
      <c r="H791">
        <v>0</v>
      </c>
      <c r="I791" t="s">
        <v>504</v>
      </c>
      <c r="J791">
        <v>79.2</v>
      </c>
      <c r="K791" t="s">
        <v>1752</v>
      </c>
      <c r="L791" t="s">
        <v>213</v>
      </c>
    </row>
    <row r="792" spans="1:12" x14ac:dyDescent="0.3">
      <c r="A792">
        <v>791</v>
      </c>
      <c r="B792">
        <v>0</v>
      </c>
      <c r="C792">
        <v>3</v>
      </c>
      <c r="D792" t="s">
        <v>1753</v>
      </c>
      <c r="E792" t="s">
        <v>206</v>
      </c>
      <c r="G792">
        <v>0</v>
      </c>
      <c r="H792">
        <v>0</v>
      </c>
      <c r="I792" t="s">
        <v>1754</v>
      </c>
      <c r="J792">
        <v>7.75</v>
      </c>
      <c r="K792" t="s">
        <v>22</v>
      </c>
      <c r="L792" t="s">
        <v>223</v>
      </c>
    </row>
    <row r="793" spans="1:12" x14ac:dyDescent="0.3">
      <c r="A793">
        <v>792</v>
      </c>
      <c r="B793">
        <v>0</v>
      </c>
      <c r="C793">
        <v>2</v>
      </c>
      <c r="D793" t="s">
        <v>1755</v>
      </c>
      <c r="E793" t="s">
        <v>206</v>
      </c>
      <c r="F793">
        <v>16</v>
      </c>
      <c r="G793">
        <v>0</v>
      </c>
      <c r="H793">
        <v>0</v>
      </c>
      <c r="I793" t="s">
        <v>256</v>
      </c>
      <c r="J793">
        <v>26</v>
      </c>
      <c r="K793" t="s">
        <v>22</v>
      </c>
      <c r="L793" t="s">
        <v>208</v>
      </c>
    </row>
    <row r="794" spans="1:12" x14ac:dyDescent="0.3">
      <c r="A794">
        <v>793</v>
      </c>
      <c r="B794">
        <v>0</v>
      </c>
      <c r="C794">
        <v>3</v>
      </c>
      <c r="D794" t="s">
        <v>1756</v>
      </c>
      <c r="E794" t="s">
        <v>210</v>
      </c>
      <c r="G794">
        <v>8</v>
      </c>
      <c r="H794">
        <v>2</v>
      </c>
      <c r="I794" t="s">
        <v>546</v>
      </c>
      <c r="J794">
        <v>69.55</v>
      </c>
      <c r="K794" t="s">
        <v>22</v>
      </c>
      <c r="L794" t="s">
        <v>208</v>
      </c>
    </row>
    <row r="795" spans="1:12" x14ac:dyDescent="0.3">
      <c r="A795">
        <v>794</v>
      </c>
      <c r="B795">
        <v>0</v>
      </c>
      <c r="C795">
        <v>1</v>
      </c>
      <c r="D795" t="s">
        <v>1757</v>
      </c>
      <c r="E795" t="s">
        <v>206</v>
      </c>
      <c r="G795">
        <v>0</v>
      </c>
      <c r="H795">
        <v>0</v>
      </c>
      <c r="I795" t="s">
        <v>1758</v>
      </c>
      <c r="J795">
        <v>30.695799999999998</v>
      </c>
      <c r="K795" t="s">
        <v>22</v>
      </c>
      <c r="L795" t="s">
        <v>213</v>
      </c>
    </row>
    <row r="796" spans="1:12" x14ac:dyDescent="0.3">
      <c r="A796">
        <v>795</v>
      </c>
      <c r="B796">
        <v>0</v>
      </c>
      <c r="C796">
        <v>3</v>
      </c>
      <c r="D796" t="s">
        <v>1759</v>
      </c>
      <c r="E796" t="s">
        <v>206</v>
      </c>
      <c r="F796">
        <v>25</v>
      </c>
      <c r="G796">
        <v>0</v>
      </c>
      <c r="H796">
        <v>0</v>
      </c>
      <c r="I796" t="s">
        <v>1760</v>
      </c>
      <c r="J796">
        <v>7.8958000000000004</v>
      </c>
      <c r="K796" t="s">
        <v>22</v>
      </c>
      <c r="L796" t="s">
        <v>208</v>
      </c>
    </row>
    <row r="797" spans="1:12" x14ac:dyDescent="0.3">
      <c r="A797">
        <v>796</v>
      </c>
      <c r="B797">
        <v>0</v>
      </c>
      <c r="C797">
        <v>2</v>
      </c>
      <c r="D797" t="s">
        <v>1761</v>
      </c>
      <c r="E797" t="s">
        <v>206</v>
      </c>
      <c r="F797">
        <v>39</v>
      </c>
      <c r="G797">
        <v>0</v>
      </c>
      <c r="H797">
        <v>0</v>
      </c>
      <c r="I797" t="s">
        <v>1762</v>
      </c>
      <c r="J797">
        <v>13</v>
      </c>
      <c r="K797" t="s">
        <v>22</v>
      </c>
      <c r="L797" t="s">
        <v>208</v>
      </c>
    </row>
    <row r="798" spans="1:12" x14ac:dyDescent="0.3">
      <c r="A798">
        <v>797</v>
      </c>
      <c r="B798">
        <v>1</v>
      </c>
      <c r="C798">
        <v>1</v>
      </c>
      <c r="D798" t="s">
        <v>1763</v>
      </c>
      <c r="E798" t="s">
        <v>210</v>
      </c>
      <c r="F798">
        <v>49</v>
      </c>
      <c r="G798">
        <v>0</v>
      </c>
      <c r="H798">
        <v>0</v>
      </c>
      <c r="I798" t="s">
        <v>1764</v>
      </c>
      <c r="J798">
        <v>25.929200000000002</v>
      </c>
      <c r="K798" t="s">
        <v>1765</v>
      </c>
      <c r="L798" t="s">
        <v>208</v>
      </c>
    </row>
    <row r="799" spans="1:12" x14ac:dyDescent="0.3">
      <c r="A799">
        <v>798</v>
      </c>
      <c r="B799">
        <v>1</v>
      </c>
      <c r="C799">
        <v>3</v>
      </c>
      <c r="D799" t="s">
        <v>1766</v>
      </c>
      <c r="E799" t="s">
        <v>210</v>
      </c>
      <c r="F799">
        <v>31</v>
      </c>
      <c r="G799">
        <v>0</v>
      </c>
      <c r="H799">
        <v>0</v>
      </c>
      <c r="I799" t="s">
        <v>1767</v>
      </c>
      <c r="J799">
        <v>8.6832999999999991</v>
      </c>
      <c r="K799" t="s">
        <v>22</v>
      </c>
      <c r="L799" t="s">
        <v>208</v>
      </c>
    </row>
    <row r="800" spans="1:12" x14ac:dyDescent="0.3">
      <c r="A800">
        <v>799</v>
      </c>
      <c r="B800">
        <v>0</v>
      </c>
      <c r="C800">
        <v>3</v>
      </c>
      <c r="D800" t="s">
        <v>1768</v>
      </c>
      <c r="E800" t="s">
        <v>206</v>
      </c>
      <c r="F800">
        <v>30</v>
      </c>
      <c r="G800">
        <v>0</v>
      </c>
      <c r="H800">
        <v>0</v>
      </c>
      <c r="I800" t="s">
        <v>1769</v>
      </c>
      <c r="J800">
        <v>7.2291999999999996</v>
      </c>
      <c r="K800" t="s">
        <v>22</v>
      </c>
      <c r="L800" t="s">
        <v>213</v>
      </c>
    </row>
    <row r="801" spans="1:12" x14ac:dyDescent="0.3">
      <c r="A801">
        <v>800</v>
      </c>
      <c r="B801">
        <v>0</v>
      </c>
      <c r="C801">
        <v>3</v>
      </c>
      <c r="D801" t="s">
        <v>1770</v>
      </c>
      <c r="E801" t="s">
        <v>210</v>
      </c>
      <c r="F801">
        <v>30</v>
      </c>
      <c r="G801">
        <v>1</v>
      </c>
      <c r="H801">
        <v>1</v>
      </c>
      <c r="I801" t="s">
        <v>1060</v>
      </c>
      <c r="J801">
        <v>24.15</v>
      </c>
      <c r="K801" t="s">
        <v>22</v>
      </c>
      <c r="L801" t="s">
        <v>208</v>
      </c>
    </row>
    <row r="802" spans="1:12" x14ac:dyDescent="0.3">
      <c r="A802">
        <v>801</v>
      </c>
      <c r="B802">
        <v>0</v>
      </c>
      <c r="C802">
        <v>2</v>
      </c>
      <c r="D802" t="s">
        <v>1771</v>
      </c>
      <c r="E802" t="s">
        <v>206</v>
      </c>
      <c r="F802">
        <v>34</v>
      </c>
      <c r="G802">
        <v>0</v>
      </c>
      <c r="H802">
        <v>0</v>
      </c>
      <c r="I802" t="s">
        <v>1614</v>
      </c>
      <c r="J802">
        <v>13</v>
      </c>
      <c r="K802" t="s">
        <v>22</v>
      </c>
      <c r="L802" t="s">
        <v>208</v>
      </c>
    </row>
    <row r="803" spans="1:12" x14ac:dyDescent="0.3">
      <c r="A803">
        <v>802</v>
      </c>
      <c r="B803">
        <v>1</v>
      </c>
      <c r="C803">
        <v>2</v>
      </c>
      <c r="D803" t="s">
        <v>1772</v>
      </c>
      <c r="E803" t="s">
        <v>210</v>
      </c>
      <c r="F803">
        <v>31</v>
      </c>
      <c r="G803">
        <v>1</v>
      </c>
      <c r="H803">
        <v>1</v>
      </c>
      <c r="I803" t="s">
        <v>700</v>
      </c>
      <c r="J803">
        <v>26.25</v>
      </c>
      <c r="K803" t="s">
        <v>22</v>
      </c>
      <c r="L803" t="s">
        <v>208</v>
      </c>
    </row>
    <row r="804" spans="1:12" x14ac:dyDescent="0.3">
      <c r="A804">
        <v>803</v>
      </c>
      <c r="B804">
        <v>1</v>
      </c>
      <c r="C804">
        <v>1</v>
      </c>
      <c r="D804" t="s">
        <v>1773</v>
      </c>
      <c r="E804" t="s">
        <v>206</v>
      </c>
      <c r="F804">
        <v>11</v>
      </c>
      <c r="G804">
        <v>1</v>
      </c>
      <c r="H804">
        <v>2</v>
      </c>
      <c r="I804" t="s">
        <v>1007</v>
      </c>
      <c r="J804">
        <v>120</v>
      </c>
      <c r="K804" t="s">
        <v>1008</v>
      </c>
      <c r="L804" t="s">
        <v>208</v>
      </c>
    </row>
    <row r="805" spans="1:12" x14ac:dyDescent="0.3">
      <c r="A805">
        <v>804</v>
      </c>
      <c r="B805">
        <v>1</v>
      </c>
      <c r="C805">
        <v>3</v>
      </c>
      <c r="D805" t="s">
        <v>1774</v>
      </c>
      <c r="E805" t="s">
        <v>206</v>
      </c>
      <c r="F805">
        <v>0.42</v>
      </c>
      <c r="G805">
        <v>0</v>
      </c>
      <c r="H805">
        <v>1</v>
      </c>
      <c r="I805" t="s">
        <v>1775</v>
      </c>
      <c r="J805">
        <v>8.5167000000000002</v>
      </c>
      <c r="K805" t="s">
        <v>22</v>
      </c>
      <c r="L805" t="s">
        <v>213</v>
      </c>
    </row>
    <row r="806" spans="1:12" x14ac:dyDescent="0.3">
      <c r="A806">
        <v>805</v>
      </c>
      <c r="B806">
        <v>1</v>
      </c>
      <c r="C806">
        <v>3</v>
      </c>
      <c r="D806" t="s">
        <v>1776</v>
      </c>
      <c r="E806" t="s">
        <v>206</v>
      </c>
      <c r="F806">
        <v>27</v>
      </c>
      <c r="G806">
        <v>0</v>
      </c>
      <c r="H806">
        <v>0</v>
      </c>
      <c r="I806" t="s">
        <v>1777</v>
      </c>
      <c r="J806">
        <v>6.9749999999999996</v>
      </c>
      <c r="K806" t="s">
        <v>22</v>
      </c>
      <c r="L806" t="s">
        <v>208</v>
      </c>
    </row>
    <row r="807" spans="1:12" x14ac:dyDescent="0.3">
      <c r="A807">
        <v>806</v>
      </c>
      <c r="B807">
        <v>0</v>
      </c>
      <c r="C807">
        <v>3</v>
      </c>
      <c r="D807" t="s">
        <v>1778</v>
      </c>
      <c r="E807" t="s">
        <v>206</v>
      </c>
      <c r="F807">
        <v>31</v>
      </c>
      <c r="G807">
        <v>0</v>
      </c>
      <c r="H807">
        <v>0</v>
      </c>
      <c r="I807" t="s">
        <v>1779</v>
      </c>
      <c r="J807">
        <v>7.7750000000000004</v>
      </c>
      <c r="K807" t="s">
        <v>22</v>
      </c>
      <c r="L807" t="s">
        <v>208</v>
      </c>
    </row>
    <row r="808" spans="1:12" x14ac:dyDescent="0.3">
      <c r="A808">
        <v>807</v>
      </c>
      <c r="B808">
        <v>0</v>
      </c>
      <c r="C808">
        <v>1</v>
      </c>
      <c r="D808" t="s">
        <v>1780</v>
      </c>
      <c r="E808" t="s">
        <v>206</v>
      </c>
      <c r="F808">
        <v>39</v>
      </c>
      <c r="G808">
        <v>0</v>
      </c>
      <c r="H808">
        <v>0</v>
      </c>
      <c r="I808" t="s">
        <v>1781</v>
      </c>
      <c r="J808">
        <v>0</v>
      </c>
      <c r="K808" t="s">
        <v>1782</v>
      </c>
      <c r="L808" t="s">
        <v>208</v>
      </c>
    </row>
    <row r="809" spans="1:12" x14ac:dyDescent="0.3">
      <c r="A809">
        <v>808</v>
      </c>
      <c r="B809">
        <v>0</v>
      </c>
      <c r="C809">
        <v>3</v>
      </c>
      <c r="D809" t="s">
        <v>1783</v>
      </c>
      <c r="E809" t="s">
        <v>210</v>
      </c>
      <c r="F809">
        <v>18</v>
      </c>
      <c r="G809">
        <v>0</v>
      </c>
      <c r="H809">
        <v>0</v>
      </c>
      <c r="I809" t="s">
        <v>1784</v>
      </c>
      <c r="J809">
        <v>7.7750000000000004</v>
      </c>
      <c r="K809" t="s">
        <v>22</v>
      </c>
      <c r="L809" t="s">
        <v>208</v>
      </c>
    </row>
    <row r="810" spans="1:12" x14ac:dyDescent="0.3">
      <c r="A810">
        <v>809</v>
      </c>
      <c r="B810">
        <v>0</v>
      </c>
      <c r="C810">
        <v>2</v>
      </c>
      <c r="D810" t="s">
        <v>1785</v>
      </c>
      <c r="E810" t="s">
        <v>206</v>
      </c>
      <c r="F810">
        <v>39</v>
      </c>
      <c r="G810">
        <v>0</v>
      </c>
      <c r="H810">
        <v>0</v>
      </c>
      <c r="I810" t="s">
        <v>1786</v>
      </c>
      <c r="J810">
        <v>13</v>
      </c>
      <c r="K810" t="s">
        <v>22</v>
      </c>
      <c r="L810" t="s">
        <v>208</v>
      </c>
    </row>
    <row r="811" spans="1:12" x14ac:dyDescent="0.3">
      <c r="A811">
        <v>810</v>
      </c>
      <c r="B811">
        <v>1</v>
      </c>
      <c r="C811">
        <v>1</v>
      </c>
      <c r="D811" t="s">
        <v>1787</v>
      </c>
      <c r="E811" t="s">
        <v>210</v>
      </c>
      <c r="F811">
        <v>33</v>
      </c>
      <c r="G811">
        <v>1</v>
      </c>
      <c r="H811">
        <v>0</v>
      </c>
      <c r="I811" t="s">
        <v>1633</v>
      </c>
      <c r="J811">
        <v>53.1</v>
      </c>
      <c r="K811" t="s">
        <v>1634</v>
      </c>
      <c r="L811" t="s">
        <v>208</v>
      </c>
    </row>
    <row r="812" spans="1:12" x14ac:dyDescent="0.3">
      <c r="A812">
        <v>811</v>
      </c>
      <c r="B812">
        <v>0</v>
      </c>
      <c r="C812">
        <v>3</v>
      </c>
      <c r="D812" t="s">
        <v>1788</v>
      </c>
      <c r="E812" t="s">
        <v>206</v>
      </c>
      <c r="F812">
        <v>26</v>
      </c>
      <c r="G812">
        <v>0</v>
      </c>
      <c r="H812">
        <v>0</v>
      </c>
      <c r="I812" t="s">
        <v>1789</v>
      </c>
      <c r="J812">
        <v>7.8875000000000002</v>
      </c>
      <c r="K812" t="s">
        <v>22</v>
      </c>
      <c r="L812" t="s">
        <v>208</v>
      </c>
    </row>
    <row r="813" spans="1:12" x14ac:dyDescent="0.3">
      <c r="A813">
        <v>812</v>
      </c>
      <c r="B813">
        <v>0</v>
      </c>
      <c r="C813">
        <v>3</v>
      </c>
      <c r="D813" t="s">
        <v>1790</v>
      </c>
      <c r="E813" t="s">
        <v>206</v>
      </c>
      <c r="F813">
        <v>39</v>
      </c>
      <c r="G813">
        <v>0</v>
      </c>
      <c r="H813">
        <v>0</v>
      </c>
      <c r="I813" t="s">
        <v>1341</v>
      </c>
      <c r="J813">
        <v>24.15</v>
      </c>
      <c r="K813" t="s">
        <v>22</v>
      </c>
      <c r="L813" t="s">
        <v>208</v>
      </c>
    </row>
    <row r="814" spans="1:12" x14ac:dyDescent="0.3">
      <c r="A814">
        <v>813</v>
      </c>
      <c r="B814">
        <v>0</v>
      </c>
      <c r="C814">
        <v>2</v>
      </c>
      <c r="D814" t="s">
        <v>1791</v>
      </c>
      <c r="E814" t="s">
        <v>206</v>
      </c>
      <c r="F814">
        <v>35</v>
      </c>
      <c r="G814">
        <v>0</v>
      </c>
      <c r="H814">
        <v>0</v>
      </c>
      <c r="I814" t="s">
        <v>1792</v>
      </c>
      <c r="J814">
        <v>10.5</v>
      </c>
      <c r="K814" t="s">
        <v>22</v>
      </c>
      <c r="L814" t="s">
        <v>208</v>
      </c>
    </row>
    <row r="815" spans="1:12" x14ac:dyDescent="0.3">
      <c r="A815">
        <v>814</v>
      </c>
      <c r="B815">
        <v>0</v>
      </c>
      <c r="C815">
        <v>3</v>
      </c>
      <c r="D815" t="s">
        <v>1793</v>
      </c>
      <c r="E815" t="s">
        <v>210</v>
      </c>
      <c r="F815">
        <v>6</v>
      </c>
      <c r="G815">
        <v>4</v>
      </c>
      <c r="H815">
        <v>2</v>
      </c>
      <c r="I815" t="s">
        <v>242</v>
      </c>
      <c r="J815">
        <v>31.274999999999999</v>
      </c>
      <c r="K815" t="s">
        <v>22</v>
      </c>
      <c r="L815" t="s">
        <v>208</v>
      </c>
    </row>
    <row r="816" spans="1:12" x14ac:dyDescent="0.3">
      <c r="A816">
        <v>815</v>
      </c>
      <c r="B816">
        <v>0</v>
      </c>
      <c r="C816">
        <v>3</v>
      </c>
      <c r="D816" t="s">
        <v>1794</v>
      </c>
      <c r="E816" t="s">
        <v>206</v>
      </c>
      <c r="F816">
        <v>30.5</v>
      </c>
      <c r="G816">
        <v>0</v>
      </c>
      <c r="H816">
        <v>0</v>
      </c>
      <c r="I816" t="s">
        <v>1795</v>
      </c>
      <c r="J816">
        <v>8.0500000000000007</v>
      </c>
      <c r="K816" t="s">
        <v>22</v>
      </c>
      <c r="L816" t="s">
        <v>208</v>
      </c>
    </row>
    <row r="817" spans="1:12" x14ac:dyDescent="0.3">
      <c r="A817">
        <v>816</v>
      </c>
      <c r="B817">
        <v>0</v>
      </c>
      <c r="C817">
        <v>1</v>
      </c>
      <c r="D817" t="s">
        <v>1796</v>
      </c>
      <c r="E817" t="s">
        <v>206</v>
      </c>
      <c r="G817">
        <v>0</v>
      </c>
      <c r="H817">
        <v>0</v>
      </c>
      <c r="I817" t="s">
        <v>1797</v>
      </c>
      <c r="J817">
        <v>0</v>
      </c>
      <c r="K817" t="s">
        <v>1798</v>
      </c>
      <c r="L817" t="s">
        <v>208</v>
      </c>
    </row>
    <row r="818" spans="1:12" x14ac:dyDescent="0.3">
      <c r="A818">
        <v>817</v>
      </c>
      <c r="B818">
        <v>0</v>
      </c>
      <c r="C818">
        <v>3</v>
      </c>
      <c r="D818" t="s">
        <v>1799</v>
      </c>
      <c r="E818" t="s">
        <v>210</v>
      </c>
      <c r="F818">
        <v>23</v>
      </c>
      <c r="G818">
        <v>0</v>
      </c>
      <c r="H818">
        <v>0</v>
      </c>
      <c r="I818" t="s">
        <v>1800</v>
      </c>
      <c r="J818">
        <v>7.9249999999999998</v>
      </c>
      <c r="K818" t="s">
        <v>22</v>
      </c>
      <c r="L818" t="s">
        <v>208</v>
      </c>
    </row>
    <row r="819" spans="1:12" x14ac:dyDescent="0.3">
      <c r="A819">
        <v>818</v>
      </c>
      <c r="B819">
        <v>0</v>
      </c>
      <c r="C819">
        <v>2</v>
      </c>
      <c r="D819" t="s">
        <v>1801</v>
      </c>
      <c r="E819" t="s">
        <v>206</v>
      </c>
      <c r="F819">
        <v>31</v>
      </c>
      <c r="G819">
        <v>1</v>
      </c>
      <c r="H819">
        <v>1</v>
      </c>
      <c r="I819" t="s">
        <v>1802</v>
      </c>
      <c r="J819">
        <v>37.004199999999997</v>
      </c>
      <c r="K819" t="s">
        <v>22</v>
      </c>
      <c r="L819" t="s">
        <v>213</v>
      </c>
    </row>
    <row r="820" spans="1:12" x14ac:dyDescent="0.3">
      <c r="A820">
        <v>819</v>
      </c>
      <c r="B820">
        <v>0</v>
      </c>
      <c r="C820">
        <v>3</v>
      </c>
      <c r="D820" t="s">
        <v>1803</v>
      </c>
      <c r="E820" t="s">
        <v>206</v>
      </c>
      <c r="F820">
        <v>43</v>
      </c>
      <c r="G820">
        <v>0</v>
      </c>
      <c r="H820">
        <v>0</v>
      </c>
      <c r="I820" t="s">
        <v>1804</v>
      </c>
      <c r="J820">
        <v>6.45</v>
      </c>
      <c r="K820" t="s">
        <v>22</v>
      </c>
      <c r="L820" t="s">
        <v>208</v>
      </c>
    </row>
    <row r="821" spans="1:12" x14ac:dyDescent="0.3">
      <c r="A821">
        <v>820</v>
      </c>
      <c r="B821">
        <v>0</v>
      </c>
      <c r="C821">
        <v>3</v>
      </c>
      <c r="D821" t="s">
        <v>1805</v>
      </c>
      <c r="E821" t="s">
        <v>206</v>
      </c>
      <c r="F821">
        <v>10</v>
      </c>
      <c r="G821">
        <v>3</v>
      </c>
      <c r="H821">
        <v>2</v>
      </c>
      <c r="I821" t="s">
        <v>350</v>
      </c>
      <c r="J821">
        <v>27.9</v>
      </c>
      <c r="K821" t="s">
        <v>22</v>
      </c>
      <c r="L821" t="s">
        <v>208</v>
      </c>
    </row>
    <row r="822" spans="1:12" x14ac:dyDescent="0.3">
      <c r="A822">
        <v>821</v>
      </c>
      <c r="B822">
        <v>1</v>
      </c>
      <c r="C822">
        <v>1</v>
      </c>
      <c r="D822" t="s">
        <v>1806</v>
      </c>
      <c r="E822" t="s">
        <v>210</v>
      </c>
      <c r="F822">
        <v>52</v>
      </c>
      <c r="G822">
        <v>1</v>
      </c>
      <c r="H822">
        <v>1</v>
      </c>
      <c r="I822" t="s">
        <v>1256</v>
      </c>
      <c r="J822">
        <v>93.5</v>
      </c>
      <c r="K822" t="s">
        <v>1807</v>
      </c>
      <c r="L822" t="s">
        <v>208</v>
      </c>
    </row>
    <row r="823" spans="1:12" x14ac:dyDescent="0.3">
      <c r="A823">
        <v>822</v>
      </c>
      <c r="B823">
        <v>1</v>
      </c>
      <c r="C823">
        <v>3</v>
      </c>
      <c r="D823" t="s">
        <v>1808</v>
      </c>
      <c r="E823" t="s">
        <v>206</v>
      </c>
      <c r="F823">
        <v>27</v>
      </c>
      <c r="G823">
        <v>0</v>
      </c>
      <c r="H823">
        <v>0</v>
      </c>
      <c r="I823" t="s">
        <v>1809</v>
      </c>
      <c r="J823">
        <v>8.6624999999999996</v>
      </c>
      <c r="K823" t="s">
        <v>22</v>
      </c>
      <c r="L823" t="s">
        <v>208</v>
      </c>
    </row>
    <row r="824" spans="1:12" x14ac:dyDescent="0.3">
      <c r="A824">
        <v>823</v>
      </c>
      <c r="B824">
        <v>0</v>
      </c>
      <c r="C824">
        <v>1</v>
      </c>
      <c r="D824" t="s">
        <v>1810</v>
      </c>
      <c r="E824" t="s">
        <v>206</v>
      </c>
      <c r="F824">
        <v>38</v>
      </c>
      <c r="G824">
        <v>0</v>
      </c>
      <c r="H824">
        <v>0</v>
      </c>
      <c r="I824" t="s">
        <v>1811</v>
      </c>
      <c r="J824">
        <v>0</v>
      </c>
      <c r="K824" t="s">
        <v>22</v>
      </c>
      <c r="L824" t="s">
        <v>208</v>
      </c>
    </row>
    <row r="825" spans="1:12" x14ac:dyDescent="0.3">
      <c r="A825">
        <v>824</v>
      </c>
      <c r="B825">
        <v>1</v>
      </c>
      <c r="C825">
        <v>3</v>
      </c>
      <c r="D825" t="s">
        <v>1812</v>
      </c>
      <c r="E825" t="s">
        <v>210</v>
      </c>
      <c r="F825">
        <v>27</v>
      </c>
      <c r="G825">
        <v>0</v>
      </c>
      <c r="H825">
        <v>1</v>
      </c>
      <c r="I825" t="s">
        <v>1682</v>
      </c>
      <c r="J825">
        <v>12.475</v>
      </c>
      <c r="K825" t="s">
        <v>1683</v>
      </c>
      <c r="L825" t="s">
        <v>208</v>
      </c>
    </row>
    <row r="826" spans="1:12" x14ac:dyDescent="0.3">
      <c r="A826">
        <v>825</v>
      </c>
      <c r="B826">
        <v>0</v>
      </c>
      <c r="C826">
        <v>3</v>
      </c>
      <c r="D826" t="s">
        <v>1813</v>
      </c>
      <c r="E826" t="s">
        <v>206</v>
      </c>
      <c r="F826">
        <v>2</v>
      </c>
      <c r="G826">
        <v>4</v>
      </c>
      <c r="H826">
        <v>1</v>
      </c>
      <c r="I826" t="s">
        <v>319</v>
      </c>
      <c r="J826">
        <v>39.6875</v>
      </c>
      <c r="K826" t="s">
        <v>22</v>
      </c>
      <c r="L826" t="s">
        <v>208</v>
      </c>
    </row>
    <row r="827" spans="1:12" x14ac:dyDescent="0.3">
      <c r="A827">
        <v>826</v>
      </c>
      <c r="B827">
        <v>0</v>
      </c>
      <c r="C827">
        <v>3</v>
      </c>
      <c r="D827" t="s">
        <v>1814</v>
      </c>
      <c r="E827" t="s">
        <v>206</v>
      </c>
      <c r="G827">
        <v>0</v>
      </c>
      <c r="H827">
        <v>0</v>
      </c>
      <c r="I827" t="s">
        <v>1815</v>
      </c>
      <c r="J827">
        <v>6.95</v>
      </c>
      <c r="K827" t="s">
        <v>22</v>
      </c>
      <c r="L827" t="s">
        <v>223</v>
      </c>
    </row>
    <row r="828" spans="1:12" x14ac:dyDescent="0.3">
      <c r="A828">
        <v>827</v>
      </c>
      <c r="B828">
        <v>0</v>
      </c>
      <c r="C828">
        <v>3</v>
      </c>
      <c r="D828" t="s">
        <v>1816</v>
      </c>
      <c r="E828" t="s">
        <v>206</v>
      </c>
      <c r="G828">
        <v>0</v>
      </c>
      <c r="H828">
        <v>0</v>
      </c>
      <c r="I828" t="s">
        <v>372</v>
      </c>
      <c r="J828">
        <v>56.495800000000003</v>
      </c>
      <c r="K828" t="s">
        <v>22</v>
      </c>
      <c r="L828" t="s">
        <v>208</v>
      </c>
    </row>
    <row r="829" spans="1:12" x14ac:dyDescent="0.3">
      <c r="A829">
        <v>828</v>
      </c>
      <c r="B829">
        <v>1</v>
      </c>
      <c r="C829">
        <v>2</v>
      </c>
      <c r="D829" t="s">
        <v>1817</v>
      </c>
      <c r="E829" t="s">
        <v>206</v>
      </c>
      <c r="F829">
        <v>1</v>
      </c>
      <c r="G829">
        <v>0</v>
      </c>
      <c r="H829">
        <v>2</v>
      </c>
      <c r="I829" t="s">
        <v>1802</v>
      </c>
      <c r="J829">
        <v>37.004199999999997</v>
      </c>
      <c r="K829" t="s">
        <v>22</v>
      </c>
      <c r="L829" t="s">
        <v>213</v>
      </c>
    </row>
    <row r="830" spans="1:12" x14ac:dyDescent="0.3">
      <c r="A830">
        <v>829</v>
      </c>
      <c r="B830">
        <v>1</v>
      </c>
      <c r="C830">
        <v>3</v>
      </c>
      <c r="D830" t="s">
        <v>1818</v>
      </c>
      <c r="E830" t="s">
        <v>206</v>
      </c>
      <c r="G830">
        <v>0</v>
      </c>
      <c r="H830">
        <v>0</v>
      </c>
      <c r="I830" t="s">
        <v>1819</v>
      </c>
      <c r="J830">
        <v>7.75</v>
      </c>
      <c r="K830" t="s">
        <v>22</v>
      </c>
      <c r="L830" t="s">
        <v>223</v>
      </c>
    </row>
    <row r="831" spans="1:12" x14ac:dyDescent="0.3">
      <c r="A831">
        <v>830</v>
      </c>
      <c r="B831">
        <v>1</v>
      </c>
      <c r="C831">
        <v>1</v>
      </c>
      <c r="D831" t="s">
        <v>1820</v>
      </c>
      <c r="E831" t="s">
        <v>210</v>
      </c>
      <c r="F831">
        <v>62</v>
      </c>
      <c r="G831">
        <v>0</v>
      </c>
      <c r="H831">
        <v>0</v>
      </c>
      <c r="I831" t="s">
        <v>344</v>
      </c>
      <c r="J831">
        <v>80</v>
      </c>
      <c r="K831" t="s">
        <v>345</v>
      </c>
      <c r="L831" t="s">
        <v>22</v>
      </c>
    </row>
    <row r="832" spans="1:12" x14ac:dyDescent="0.3">
      <c r="A832">
        <v>831</v>
      </c>
      <c r="B832">
        <v>1</v>
      </c>
      <c r="C832">
        <v>3</v>
      </c>
      <c r="D832" t="s">
        <v>1821</v>
      </c>
      <c r="E832" t="s">
        <v>210</v>
      </c>
      <c r="F832">
        <v>15</v>
      </c>
      <c r="G832">
        <v>1</v>
      </c>
      <c r="H832">
        <v>0</v>
      </c>
      <c r="I832" t="s">
        <v>1440</v>
      </c>
      <c r="J832">
        <v>14.4542</v>
      </c>
      <c r="K832" t="s">
        <v>22</v>
      </c>
      <c r="L832" t="s">
        <v>213</v>
      </c>
    </row>
    <row r="833" spans="1:12" x14ac:dyDescent="0.3">
      <c r="A833">
        <v>832</v>
      </c>
      <c r="B833">
        <v>1</v>
      </c>
      <c r="C833">
        <v>2</v>
      </c>
      <c r="D833" t="s">
        <v>1822</v>
      </c>
      <c r="E833" t="s">
        <v>206</v>
      </c>
      <c r="F833">
        <v>0.83</v>
      </c>
      <c r="G833">
        <v>1</v>
      </c>
      <c r="H833">
        <v>1</v>
      </c>
      <c r="I833" t="s">
        <v>1039</v>
      </c>
      <c r="J833">
        <v>18.75</v>
      </c>
      <c r="K833" t="s">
        <v>22</v>
      </c>
      <c r="L833" t="s">
        <v>208</v>
      </c>
    </row>
    <row r="834" spans="1:12" x14ac:dyDescent="0.3">
      <c r="A834">
        <v>833</v>
      </c>
      <c r="B834">
        <v>0</v>
      </c>
      <c r="C834">
        <v>3</v>
      </c>
      <c r="D834" t="s">
        <v>1823</v>
      </c>
      <c r="E834" t="s">
        <v>206</v>
      </c>
      <c r="G834">
        <v>0</v>
      </c>
      <c r="H834">
        <v>0</v>
      </c>
      <c r="I834" t="s">
        <v>1824</v>
      </c>
      <c r="J834">
        <v>7.2291999999999996</v>
      </c>
      <c r="K834" t="s">
        <v>22</v>
      </c>
      <c r="L834" t="s">
        <v>213</v>
      </c>
    </row>
    <row r="835" spans="1:12" x14ac:dyDescent="0.3">
      <c r="A835">
        <v>834</v>
      </c>
      <c r="B835">
        <v>0</v>
      </c>
      <c r="C835">
        <v>3</v>
      </c>
      <c r="D835" t="s">
        <v>1825</v>
      </c>
      <c r="E835" t="s">
        <v>206</v>
      </c>
      <c r="F835">
        <v>23</v>
      </c>
      <c r="G835">
        <v>0</v>
      </c>
      <c r="H835">
        <v>0</v>
      </c>
      <c r="I835" t="s">
        <v>1826</v>
      </c>
      <c r="J835">
        <v>7.8541999999999996</v>
      </c>
      <c r="K835" t="s">
        <v>22</v>
      </c>
      <c r="L835" t="s">
        <v>208</v>
      </c>
    </row>
    <row r="836" spans="1:12" x14ac:dyDescent="0.3">
      <c r="A836">
        <v>835</v>
      </c>
      <c r="B836">
        <v>0</v>
      </c>
      <c r="C836">
        <v>3</v>
      </c>
      <c r="D836" t="s">
        <v>1827</v>
      </c>
      <c r="E836" t="s">
        <v>206</v>
      </c>
      <c r="F836">
        <v>18</v>
      </c>
      <c r="G836">
        <v>0</v>
      </c>
      <c r="H836">
        <v>0</v>
      </c>
      <c r="I836" t="s">
        <v>1828</v>
      </c>
      <c r="J836">
        <v>8.3000000000000007</v>
      </c>
      <c r="K836" t="s">
        <v>22</v>
      </c>
      <c r="L836" t="s">
        <v>208</v>
      </c>
    </row>
    <row r="837" spans="1:12" x14ac:dyDescent="0.3">
      <c r="A837">
        <v>836</v>
      </c>
      <c r="B837">
        <v>1</v>
      </c>
      <c r="C837">
        <v>1</v>
      </c>
      <c r="D837" t="s">
        <v>1829</v>
      </c>
      <c r="E837" t="s">
        <v>210</v>
      </c>
      <c r="F837">
        <v>39</v>
      </c>
      <c r="G837">
        <v>1</v>
      </c>
      <c r="H837">
        <v>1</v>
      </c>
      <c r="I837" t="s">
        <v>1830</v>
      </c>
      <c r="J837">
        <v>83.158299999999997</v>
      </c>
      <c r="K837" t="s">
        <v>1831</v>
      </c>
      <c r="L837" t="s">
        <v>213</v>
      </c>
    </row>
    <row r="838" spans="1:12" x14ac:dyDescent="0.3">
      <c r="A838">
        <v>837</v>
      </c>
      <c r="B838">
        <v>0</v>
      </c>
      <c r="C838">
        <v>3</v>
      </c>
      <c r="D838" t="s">
        <v>1832</v>
      </c>
      <c r="E838" t="s">
        <v>206</v>
      </c>
      <c r="F838">
        <v>21</v>
      </c>
      <c r="G838">
        <v>0</v>
      </c>
      <c r="H838">
        <v>0</v>
      </c>
      <c r="I838" t="s">
        <v>1833</v>
      </c>
      <c r="J838">
        <v>8.6624999999999996</v>
      </c>
      <c r="K838" t="s">
        <v>22</v>
      </c>
      <c r="L838" t="s">
        <v>208</v>
      </c>
    </row>
    <row r="839" spans="1:12" x14ac:dyDescent="0.3">
      <c r="A839">
        <v>838</v>
      </c>
      <c r="B839">
        <v>0</v>
      </c>
      <c r="C839">
        <v>3</v>
      </c>
      <c r="D839" t="s">
        <v>1834</v>
      </c>
      <c r="E839" t="s">
        <v>206</v>
      </c>
      <c r="G839">
        <v>0</v>
      </c>
      <c r="H839">
        <v>0</v>
      </c>
      <c r="I839" t="s">
        <v>1835</v>
      </c>
      <c r="J839">
        <v>8.0500000000000007</v>
      </c>
      <c r="K839" t="s">
        <v>22</v>
      </c>
      <c r="L839" t="s">
        <v>208</v>
      </c>
    </row>
    <row r="840" spans="1:12" x14ac:dyDescent="0.3">
      <c r="A840">
        <v>839</v>
      </c>
      <c r="B840">
        <v>1</v>
      </c>
      <c r="C840">
        <v>3</v>
      </c>
      <c r="D840" t="s">
        <v>1836</v>
      </c>
      <c r="E840" t="s">
        <v>206</v>
      </c>
      <c r="F840">
        <v>32</v>
      </c>
      <c r="G840">
        <v>0</v>
      </c>
      <c r="H840">
        <v>0</v>
      </c>
      <c r="I840" t="s">
        <v>372</v>
      </c>
      <c r="J840">
        <v>56.495800000000003</v>
      </c>
      <c r="K840" t="s">
        <v>22</v>
      </c>
      <c r="L840" t="s">
        <v>208</v>
      </c>
    </row>
    <row r="841" spans="1:12" x14ac:dyDescent="0.3">
      <c r="A841">
        <v>840</v>
      </c>
      <c r="B841">
        <v>1</v>
      </c>
      <c r="C841">
        <v>1</v>
      </c>
      <c r="D841" t="s">
        <v>1837</v>
      </c>
      <c r="E841" t="s">
        <v>206</v>
      </c>
      <c r="G841">
        <v>0</v>
      </c>
      <c r="H841">
        <v>0</v>
      </c>
      <c r="I841" t="s">
        <v>1838</v>
      </c>
      <c r="J841">
        <v>29.7</v>
      </c>
      <c r="K841" t="s">
        <v>1839</v>
      </c>
      <c r="L841" t="s">
        <v>213</v>
      </c>
    </row>
    <row r="842" spans="1:12" x14ac:dyDescent="0.3">
      <c r="A842">
        <v>841</v>
      </c>
      <c r="B842">
        <v>0</v>
      </c>
      <c r="C842">
        <v>3</v>
      </c>
      <c r="D842" t="s">
        <v>1840</v>
      </c>
      <c r="E842" t="s">
        <v>206</v>
      </c>
      <c r="F842">
        <v>20</v>
      </c>
      <c r="G842">
        <v>0</v>
      </c>
      <c r="H842">
        <v>0</v>
      </c>
      <c r="I842" t="s">
        <v>1841</v>
      </c>
      <c r="J842">
        <v>7.9249999999999998</v>
      </c>
      <c r="K842" t="s">
        <v>22</v>
      </c>
      <c r="L842" t="s">
        <v>208</v>
      </c>
    </row>
    <row r="843" spans="1:12" x14ac:dyDescent="0.3">
      <c r="A843">
        <v>842</v>
      </c>
      <c r="B843">
        <v>0</v>
      </c>
      <c r="C843">
        <v>2</v>
      </c>
      <c r="D843" t="s">
        <v>1842</v>
      </c>
      <c r="E843" t="s">
        <v>206</v>
      </c>
      <c r="F843">
        <v>16</v>
      </c>
      <c r="G843">
        <v>0</v>
      </c>
      <c r="H843">
        <v>0</v>
      </c>
      <c r="I843" t="s">
        <v>1719</v>
      </c>
      <c r="J843">
        <v>10.5</v>
      </c>
      <c r="K843" t="s">
        <v>22</v>
      </c>
      <c r="L843" t="s">
        <v>208</v>
      </c>
    </row>
    <row r="844" spans="1:12" x14ac:dyDescent="0.3">
      <c r="A844">
        <v>843</v>
      </c>
      <c r="B844">
        <v>1</v>
      </c>
      <c r="C844">
        <v>1</v>
      </c>
      <c r="D844" t="s">
        <v>1843</v>
      </c>
      <c r="E844" t="s">
        <v>210</v>
      </c>
      <c r="F844">
        <v>30</v>
      </c>
      <c r="G844">
        <v>0</v>
      </c>
      <c r="H844">
        <v>0</v>
      </c>
      <c r="I844" t="s">
        <v>770</v>
      </c>
      <c r="J844">
        <v>31</v>
      </c>
      <c r="K844" t="s">
        <v>22</v>
      </c>
      <c r="L844" t="s">
        <v>213</v>
      </c>
    </row>
    <row r="845" spans="1:12" x14ac:dyDescent="0.3">
      <c r="A845">
        <v>844</v>
      </c>
      <c r="B845">
        <v>0</v>
      </c>
      <c r="C845">
        <v>3</v>
      </c>
      <c r="D845" t="s">
        <v>1844</v>
      </c>
      <c r="E845" t="s">
        <v>206</v>
      </c>
      <c r="F845">
        <v>34.5</v>
      </c>
      <c r="G845">
        <v>0</v>
      </c>
      <c r="H845">
        <v>0</v>
      </c>
      <c r="I845" t="s">
        <v>1845</v>
      </c>
      <c r="J845">
        <v>6.4375</v>
      </c>
      <c r="K845" t="s">
        <v>22</v>
      </c>
      <c r="L845" t="s">
        <v>213</v>
      </c>
    </row>
    <row r="846" spans="1:12" x14ac:dyDescent="0.3">
      <c r="A846">
        <v>845</v>
      </c>
      <c r="B846">
        <v>0</v>
      </c>
      <c r="C846">
        <v>3</v>
      </c>
      <c r="D846" t="s">
        <v>1846</v>
      </c>
      <c r="E846" t="s">
        <v>206</v>
      </c>
      <c r="F846">
        <v>17</v>
      </c>
      <c r="G846">
        <v>0</v>
      </c>
      <c r="H846">
        <v>0</v>
      </c>
      <c r="I846" t="s">
        <v>1847</v>
      </c>
      <c r="J846">
        <v>8.6624999999999996</v>
      </c>
      <c r="K846" t="s">
        <v>22</v>
      </c>
      <c r="L846" t="s">
        <v>208</v>
      </c>
    </row>
    <row r="847" spans="1:12" x14ac:dyDescent="0.3">
      <c r="A847">
        <v>846</v>
      </c>
      <c r="B847">
        <v>0</v>
      </c>
      <c r="C847">
        <v>3</v>
      </c>
      <c r="D847" t="s">
        <v>1848</v>
      </c>
      <c r="E847" t="s">
        <v>206</v>
      </c>
      <c r="F847">
        <v>42</v>
      </c>
      <c r="G847">
        <v>0</v>
      </c>
      <c r="H847">
        <v>0</v>
      </c>
      <c r="I847" t="s">
        <v>1849</v>
      </c>
      <c r="J847">
        <v>7.55</v>
      </c>
      <c r="K847" t="s">
        <v>22</v>
      </c>
      <c r="L847" t="s">
        <v>208</v>
      </c>
    </row>
    <row r="848" spans="1:12" x14ac:dyDescent="0.3">
      <c r="A848">
        <v>847</v>
      </c>
      <c r="B848">
        <v>0</v>
      </c>
      <c r="C848">
        <v>3</v>
      </c>
      <c r="D848" t="s">
        <v>1850</v>
      </c>
      <c r="E848" t="s">
        <v>206</v>
      </c>
      <c r="G848">
        <v>8</v>
      </c>
      <c r="H848">
        <v>2</v>
      </c>
      <c r="I848" t="s">
        <v>546</v>
      </c>
      <c r="J848">
        <v>69.55</v>
      </c>
      <c r="K848" t="s">
        <v>22</v>
      </c>
      <c r="L848" t="s">
        <v>208</v>
      </c>
    </row>
    <row r="849" spans="1:12" x14ac:dyDescent="0.3">
      <c r="A849">
        <v>848</v>
      </c>
      <c r="B849">
        <v>0</v>
      </c>
      <c r="C849">
        <v>3</v>
      </c>
      <c r="D849" t="s">
        <v>1851</v>
      </c>
      <c r="E849" t="s">
        <v>206</v>
      </c>
      <c r="F849">
        <v>35</v>
      </c>
      <c r="G849">
        <v>0</v>
      </c>
      <c r="H849">
        <v>0</v>
      </c>
      <c r="I849" t="s">
        <v>1852</v>
      </c>
      <c r="J849">
        <v>7.8958000000000004</v>
      </c>
      <c r="K849" t="s">
        <v>22</v>
      </c>
      <c r="L849" t="s">
        <v>213</v>
      </c>
    </row>
    <row r="850" spans="1:12" x14ac:dyDescent="0.3">
      <c r="A850">
        <v>849</v>
      </c>
      <c r="B850">
        <v>0</v>
      </c>
      <c r="C850">
        <v>2</v>
      </c>
      <c r="D850" t="s">
        <v>1853</v>
      </c>
      <c r="E850" t="s">
        <v>206</v>
      </c>
      <c r="F850">
        <v>28</v>
      </c>
      <c r="G850">
        <v>0</v>
      </c>
      <c r="H850">
        <v>1</v>
      </c>
      <c r="I850" t="s">
        <v>1401</v>
      </c>
      <c r="J850">
        <v>33</v>
      </c>
      <c r="K850" t="s">
        <v>22</v>
      </c>
      <c r="L850" t="s">
        <v>208</v>
      </c>
    </row>
    <row r="851" spans="1:12" x14ac:dyDescent="0.3">
      <c r="A851">
        <v>850</v>
      </c>
      <c r="B851">
        <v>1</v>
      </c>
      <c r="C851">
        <v>1</v>
      </c>
      <c r="D851" t="s">
        <v>1854</v>
      </c>
      <c r="E851" t="s">
        <v>210</v>
      </c>
      <c r="G851">
        <v>1</v>
      </c>
      <c r="H851">
        <v>0</v>
      </c>
      <c r="I851" t="s">
        <v>1125</v>
      </c>
      <c r="J851">
        <v>89.104200000000006</v>
      </c>
      <c r="K851" t="s">
        <v>1126</v>
      </c>
      <c r="L851" t="s">
        <v>213</v>
      </c>
    </row>
    <row r="852" spans="1:12" x14ac:dyDescent="0.3">
      <c r="A852">
        <v>851</v>
      </c>
      <c r="B852">
        <v>0</v>
      </c>
      <c r="C852">
        <v>3</v>
      </c>
      <c r="D852" t="s">
        <v>1855</v>
      </c>
      <c r="E852" t="s">
        <v>206</v>
      </c>
      <c r="F852">
        <v>4</v>
      </c>
      <c r="G852">
        <v>4</v>
      </c>
      <c r="H852">
        <v>2</v>
      </c>
      <c r="I852" t="s">
        <v>242</v>
      </c>
      <c r="J852">
        <v>31.274999999999999</v>
      </c>
      <c r="K852" t="s">
        <v>22</v>
      </c>
      <c r="L852" t="s">
        <v>208</v>
      </c>
    </row>
    <row r="853" spans="1:12" x14ac:dyDescent="0.3">
      <c r="A853">
        <v>852</v>
      </c>
      <c r="B853">
        <v>0</v>
      </c>
      <c r="C853">
        <v>3</v>
      </c>
      <c r="D853" t="s">
        <v>1856</v>
      </c>
      <c r="E853" t="s">
        <v>206</v>
      </c>
      <c r="F853">
        <v>74</v>
      </c>
      <c r="G853">
        <v>0</v>
      </c>
      <c r="H853">
        <v>0</v>
      </c>
      <c r="I853" t="s">
        <v>1857</v>
      </c>
      <c r="J853">
        <v>7.7750000000000004</v>
      </c>
      <c r="K853" t="s">
        <v>22</v>
      </c>
      <c r="L853" t="s">
        <v>208</v>
      </c>
    </row>
    <row r="854" spans="1:12" x14ac:dyDescent="0.3">
      <c r="A854">
        <v>853</v>
      </c>
      <c r="B854">
        <v>0</v>
      </c>
      <c r="C854">
        <v>3</v>
      </c>
      <c r="D854" t="s">
        <v>1858</v>
      </c>
      <c r="E854" t="s">
        <v>210</v>
      </c>
      <c r="F854">
        <v>9</v>
      </c>
      <c r="G854">
        <v>1</v>
      </c>
      <c r="H854">
        <v>1</v>
      </c>
      <c r="I854" t="s">
        <v>507</v>
      </c>
      <c r="J854">
        <v>15.245799999999999</v>
      </c>
      <c r="K854" t="s">
        <v>22</v>
      </c>
      <c r="L854" t="s">
        <v>213</v>
      </c>
    </row>
    <row r="855" spans="1:12" x14ac:dyDescent="0.3">
      <c r="A855">
        <v>854</v>
      </c>
      <c r="B855">
        <v>1</v>
      </c>
      <c r="C855">
        <v>1</v>
      </c>
      <c r="D855" t="s">
        <v>1859</v>
      </c>
      <c r="E855" t="s">
        <v>210</v>
      </c>
      <c r="F855">
        <v>16</v>
      </c>
      <c r="G855">
        <v>0</v>
      </c>
      <c r="H855">
        <v>1</v>
      </c>
      <c r="I855" t="s">
        <v>1860</v>
      </c>
      <c r="J855">
        <v>39.4</v>
      </c>
      <c r="K855" t="s">
        <v>1861</v>
      </c>
      <c r="L855" t="s">
        <v>208</v>
      </c>
    </row>
    <row r="856" spans="1:12" x14ac:dyDescent="0.3">
      <c r="A856">
        <v>855</v>
      </c>
      <c r="B856">
        <v>0</v>
      </c>
      <c r="C856">
        <v>2</v>
      </c>
      <c r="D856" t="s">
        <v>1862</v>
      </c>
      <c r="E856" t="s">
        <v>210</v>
      </c>
      <c r="F856">
        <v>44</v>
      </c>
      <c r="G856">
        <v>1</v>
      </c>
      <c r="H856">
        <v>0</v>
      </c>
      <c r="I856" t="s">
        <v>725</v>
      </c>
      <c r="J856">
        <v>26</v>
      </c>
      <c r="K856" t="s">
        <v>22</v>
      </c>
      <c r="L856" t="s">
        <v>208</v>
      </c>
    </row>
    <row r="857" spans="1:12" x14ac:dyDescent="0.3">
      <c r="A857">
        <v>856</v>
      </c>
      <c r="B857">
        <v>1</v>
      </c>
      <c r="C857">
        <v>3</v>
      </c>
      <c r="D857" t="s">
        <v>1863</v>
      </c>
      <c r="E857" t="s">
        <v>210</v>
      </c>
      <c r="F857">
        <v>18</v>
      </c>
      <c r="G857">
        <v>0</v>
      </c>
      <c r="H857">
        <v>1</v>
      </c>
      <c r="I857" t="s">
        <v>1864</v>
      </c>
      <c r="J857">
        <v>9.35</v>
      </c>
      <c r="K857" t="s">
        <v>22</v>
      </c>
      <c r="L857" t="s">
        <v>208</v>
      </c>
    </row>
    <row r="858" spans="1:12" x14ac:dyDescent="0.3">
      <c r="A858">
        <v>857</v>
      </c>
      <c r="B858">
        <v>1</v>
      </c>
      <c r="C858">
        <v>1</v>
      </c>
      <c r="D858" t="s">
        <v>1865</v>
      </c>
      <c r="E858" t="s">
        <v>210</v>
      </c>
      <c r="F858">
        <v>45</v>
      </c>
      <c r="G858">
        <v>1</v>
      </c>
      <c r="H858">
        <v>1</v>
      </c>
      <c r="I858" t="s">
        <v>871</v>
      </c>
      <c r="J858">
        <v>164.86670000000001</v>
      </c>
      <c r="K858" t="s">
        <v>22</v>
      </c>
      <c r="L858" t="s">
        <v>208</v>
      </c>
    </row>
    <row r="859" spans="1:12" x14ac:dyDescent="0.3">
      <c r="A859">
        <v>858</v>
      </c>
      <c r="B859">
        <v>1</v>
      </c>
      <c r="C859">
        <v>1</v>
      </c>
      <c r="D859" t="s">
        <v>1866</v>
      </c>
      <c r="E859" t="s">
        <v>206</v>
      </c>
      <c r="F859">
        <v>51</v>
      </c>
      <c r="G859">
        <v>0</v>
      </c>
      <c r="H859">
        <v>0</v>
      </c>
      <c r="I859" t="s">
        <v>1867</v>
      </c>
      <c r="J859">
        <v>26.55</v>
      </c>
      <c r="K859" t="s">
        <v>1868</v>
      </c>
      <c r="L859" t="s">
        <v>208</v>
      </c>
    </row>
    <row r="860" spans="1:12" x14ac:dyDescent="0.3">
      <c r="A860">
        <v>859</v>
      </c>
      <c r="B860">
        <v>1</v>
      </c>
      <c r="C860">
        <v>3</v>
      </c>
      <c r="D860" t="s">
        <v>1869</v>
      </c>
      <c r="E860" t="s">
        <v>210</v>
      </c>
      <c r="F860">
        <v>24</v>
      </c>
      <c r="G860">
        <v>0</v>
      </c>
      <c r="H860">
        <v>3</v>
      </c>
      <c r="I860" t="s">
        <v>1114</v>
      </c>
      <c r="J860">
        <v>19.258299999999998</v>
      </c>
      <c r="K860" t="s">
        <v>22</v>
      </c>
      <c r="L860" t="s">
        <v>213</v>
      </c>
    </row>
    <row r="861" spans="1:12" x14ac:dyDescent="0.3">
      <c r="A861">
        <v>860</v>
      </c>
      <c r="B861">
        <v>0</v>
      </c>
      <c r="C861">
        <v>3</v>
      </c>
      <c r="D861" t="s">
        <v>1870</v>
      </c>
      <c r="E861" t="s">
        <v>206</v>
      </c>
      <c r="G861">
        <v>0</v>
      </c>
      <c r="H861">
        <v>0</v>
      </c>
      <c r="I861" t="s">
        <v>1871</v>
      </c>
      <c r="J861">
        <v>7.2291999999999996</v>
      </c>
      <c r="K861" t="s">
        <v>22</v>
      </c>
      <c r="L861" t="s">
        <v>213</v>
      </c>
    </row>
    <row r="862" spans="1:12" x14ac:dyDescent="0.3">
      <c r="A862">
        <v>861</v>
      </c>
      <c r="B862">
        <v>0</v>
      </c>
      <c r="C862">
        <v>3</v>
      </c>
      <c r="D862" t="s">
        <v>1872</v>
      </c>
      <c r="E862" t="s">
        <v>206</v>
      </c>
      <c r="F862">
        <v>41</v>
      </c>
      <c r="G862">
        <v>2</v>
      </c>
      <c r="H862">
        <v>0</v>
      </c>
      <c r="I862" t="s">
        <v>1873</v>
      </c>
      <c r="J862">
        <v>14.1083</v>
      </c>
      <c r="K862" t="s">
        <v>22</v>
      </c>
      <c r="L862" t="s">
        <v>208</v>
      </c>
    </row>
    <row r="863" spans="1:12" x14ac:dyDescent="0.3">
      <c r="A863">
        <v>862</v>
      </c>
      <c r="B863">
        <v>0</v>
      </c>
      <c r="C863">
        <v>2</v>
      </c>
      <c r="D863" t="s">
        <v>1874</v>
      </c>
      <c r="E863" t="s">
        <v>206</v>
      </c>
      <c r="F863">
        <v>21</v>
      </c>
      <c r="G863">
        <v>1</v>
      </c>
      <c r="H863">
        <v>0</v>
      </c>
      <c r="I863" t="s">
        <v>1875</v>
      </c>
      <c r="J863">
        <v>11.5</v>
      </c>
      <c r="K863" t="s">
        <v>22</v>
      </c>
      <c r="L863" t="s">
        <v>208</v>
      </c>
    </row>
    <row r="864" spans="1:12" x14ac:dyDescent="0.3">
      <c r="A864">
        <v>863</v>
      </c>
      <c r="B864">
        <v>1</v>
      </c>
      <c r="C864">
        <v>1</v>
      </c>
      <c r="D864" t="s">
        <v>1876</v>
      </c>
      <c r="E864" t="s">
        <v>210</v>
      </c>
      <c r="F864">
        <v>48</v>
      </c>
      <c r="G864">
        <v>0</v>
      </c>
      <c r="H864">
        <v>0</v>
      </c>
      <c r="I864" t="s">
        <v>1877</v>
      </c>
      <c r="J864">
        <v>25.929200000000002</v>
      </c>
      <c r="K864" t="s">
        <v>1765</v>
      </c>
      <c r="L864" t="s">
        <v>208</v>
      </c>
    </row>
    <row r="865" spans="1:12" x14ac:dyDescent="0.3">
      <c r="A865">
        <v>864</v>
      </c>
      <c r="B865">
        <v>0</v>
      </c>
      <c r="C865">
        <v>3</v>
      </c>
      <c r="D865" t="s">
        <v>1878</v>
      </c>
      <c r="E865" t="s">
        <v>210</v>
      </c>
      <c r="G865">
        <v>8</v>
      </c>
      <c r="H865">
        <v>2</v>
      </c>
      <c r="I865" t="s">
        <v>546</v>
      </c>
      <c r="J865">
        <v>69.55</v>
      </c>
      <c r="K865" t="s">
        <v>22</v>
      </c>
      <c r="L865" t="s">
        <v>208</v>
      </c>
    </row>
    <row r="866" spans="1:12" x14ac:dyDescent="0.3">
      <c r="A866">
        <v>865</v>
      </c>
      <c r="B866">
        <v>0</v>
      </c>
      <c r="C866">
        <v>2</v>
      </c>
      <c r="D866" t="s">
        <v>1879</v>
      </c>
      <c r="E866" t="s">
        <v>206</v>
      </c>
      <c r="F866">
        <v>24</v>
      </c>
      <c r="G866">
        <v>0</v>
      </c>
      <c r="H866">
        <v>0</v>
      </c>
      <c r="I866" t="s">
        <v>1880</v>
      </c>
      <c r="J866">
        <v>13</v>
      </c>
      <c r="K866" t="s">
        <v>22</v>
      </c>
      <c r="L866" t="s">
        <v>208</v>
      </c>
    </row>
    <row r="867" spans="1:12" x14ac:dyDescent="0.3">
      <c r="A867">
        <v>866</v>
      </c>
      <c r="B867">
        <v>1</v>
      </c>
      <c r="C867">
        <v>2</v>
      </c>
      <c r="D867" t="s">
        <v>1881</v>
      </c>
      <c r="E867" t="s">
        <v>210</v>
      </c>
      <c r="F867">
        <v>42</v>
      </c>
      <c r="G867">
        <v>0</v>
      </c>
      <c r="H867">
        <v>0</v>
      </c>
      <c r="I867" t="s">
        <v>1882</v>
      </c>
      <c r="J867">
        <v>13</v>
      </c>
      <c r="K867" t="s">
        <v>22</v>
      </c>
      <c r="L867" t="s">
        <v>208</v>
      </c>
    </row>
    <row r="868" spans="1:12" x14ac:dyDescent="0.3">
      <c r="A868">
        <v>867</v>
      </c>
      <c r="B868">
        <v>1</v>
      </c>
      <c r="C868">
        <v>2</v>
      </c>
      <c r="D868" t="s">
        <v>1883</v>
      </c>
      <c r="E868" t="s">
        <v>210</v>
      </c>
      <c r="F868">
        <v>27</v>
      </c>
      <c r="G868">
        <v>1</v>
      </c>
      <c r="H868">
        <v>0</v>
      </c>
      <c r="I868" t="s">
        <v>1884</v>
      </c>
      <c r="J868">
        <v>13.8583</v>
      </c>
      <c r="K868" t="s">
        <v>22</v>
      </c>
      <c r="L868" t="s">
        <v>213</v>
      </c>
    </row>
    <row r="869" spans="1:12" x14ac:dyDescent="0.3">
      <c r="A869">
        <v>868</v>
      </c>
      <c r="B869">
        <v>0</v>
      </c>
      <c r="C869">
        <v>1</v>
      </c>
      <c r="D869" t="s">
        <v>1885</v>
      </c>
      <c r="E869" t="s">
        <v>206</v>
      </c>
      <c r="F869">
        <v>31</v>
      </c>
      <c r="G869">
        <v>0</v>
      </c>
      <c r="H869">
        <v>0</v>
      </c>
      <c r="I869" t="s">
        <v>1886</v>
      </c>
      <c r="J869">
        <v>50.495800000000003</v>
      </c>
      <c r="K869" t="s">
        <v>1887</v>
      </c>
      <c r="L869" t="s">
        <v>208</v>
      </c>
    </row>
    <row r="870" spans="1:12" x14ac:dyDescent="0.3">
      <c r="A870">
        <v>869</v>
      </c>
      <c r="B870">
        <v>0</v>
      </c>
      <c r="C870">
        <v>3</v>
      </c>
      <c r="D870" t="s">
        <v>1888</v>
      </c>
      <c r="E870" t="s">
        <v>206</v>
      </c>
      <c r="G870">
        <v>0</v>
      </c>
      <c r="H870">
        <v>0</v>
      </c>
      <c r="I870" t="s">
        <v>1889</v>
      </c>
      <c r="J870">
        <v>9.5</v>
      </c>
      <c r="K870" t="s">
        <v>22</v>
      </c>
      <c r="L870" t="s">
        <v>208</v>
      </c>
    </row>
    <row r="871" spans="1:12" x14ac:dyDescent="0.3">
      <c r="A871">
        <v>870</v>
      </c>
      <c r="B871">
        <v>1</v>
      </c>
      <c r="C871">
        <v>3</v>
      </c>
      <c r="D871" t="s">
        <v>1890</v>
      </c>
      <c r="E871" t="s">
        <v>206</v>
      </c>
      <c r="F871">
        <v>4</v>
      </c>
      <c r="G871">
        <v>1</v>
      </c>
      <c r="H871">
        <v>1</v>
      </c>
      <c r="I871" t="s">
        <v>230</v>
      </c>
      <c r="J871">
        <v>11.1333</v>
      </c>
      <c r="K871" t="s">
        <v>22</v>
      </c>
      <c r="L871" t="s">
        <v>208</v>
      </c>
    </row>
    <row r="872" spans="1:12" x14ac:dyDescent="0.3">
      <c r="A872">
        <v>871</v>
      </c>
      <c r="B872">
        <v>0</v>
      </c>
      <c r="C872">
        <v>3</v>
      </c>
      <c r="D872" t="s">
        <v>1891</v>
      </c>
      <c r="E872" t="s">
        <v>206</v>
      </c>
      <c r="F872">
        <v>26</v>
      </c>
      <c r="G872">
        <v>0</v>
      </c>
      <c r="H872">
        <v>0</v>
      </c>
      <c r="I872" t="s">
        <v>1892</v>
      </c>
      <c r="J872">
        <v>7.8958000000000004</v>
      </c>
      <c r="K872" t="s">
        <v>22</v>
      </c>
      <c r="L872" t="s">
        <v>208</v>
      </c>
    </row>
    <row r="873" spans="1:12" x14ac:dyDescent="0.3">
      <c r="A873">
        <v>872</v>
      </c>
      <c r="B873">
        <v>1</v>
      </c>
      <c r="C873">
        <v>1</v>
      </c>
      <c r="D873" t="s">
        <v>1893</v>
      </c>
      <c r="E873" t="s">
        <v>210</v>
      </c>
      <c r="F873">
        <v>47</v>
      </c>
      <c r="G873">
        <v>1</v>
      </c>
      <c r="H873">
        <v>1</v>
      </c>
      <c r="I873" t="s">
        <v>722</v>
      </c>
      <c r="J873">
        <v>52.554200000000002</v>
      </c>
      <c r="K873" t="s">
        <v>723</v>
      </c>
      <c r="L873" t="s">
        <v>208</v>
      </c>
    </row>
    <row r="874" spans="1:12" x14ac:dyDescent="0.3">
      <c r="A874">
        <v>873</v>
      </c>
      <c r="B874">
        <v>0</v>
      </c>
      <c r="C874">
        <v>1</v>
      </c>
      <c r="D874" t="s">
        <v>1894</v>
      </c>
      <c r="E874" t="s">
        <v>206</v>
      </c>
      <c r="F874">
        <v>33</v>
      </c>
      <c r="G874">
        <v>0</v>
      </c>
      <c r="H874">
        <v>0</v>
      </c>
      <c r="I874" t="s">
        <v>1895</v>
      </c>
      <c r="J874">
        <v>5</v>
      </c>
      <c r="K874" t="s">
        <v>1550</v>
      </c>
      <c r="L874" t="s">
        <v>208</v>
      </c>
    </row>
    <row r="875" spans="1:12" x14ac:dyDescent="0.3">
      <c r="A875">
        <v>874</v>
      </c>
      <c r="B875">
        <v>0</v>
      </c>
      <c r="C875">
        <v>3</v>
      </c>
      <c r="D875" t="s">
        <v>1896</v>
      </c>
      <c r="E875" t="s">
        <v>206</v>
      </c>
      <c r="F875">
        <v>47</v>
      </c>
      <c r="G875">
        <v>0</v>
      </c>
      <c r="H875">
        <v>0</v>
      </c>
      <c r="I875" t="s">
        <v>1897</v>
      </c>
      <c r="J875">
        <v>9</v>
      </c>
      <c r="K875" t="s">
        <v>22</v>
      </c>
      <c r="L875" t="s">
        <v>208</v>
      </c>
    </row>
    <row r="876" spans="1:12" x14ac:dyDescent="0.3">
      <c r="A876">
        <v>875</v>
      </c>
      <c r="B876">
        <v>1</v>
      </c>
      <c r="C876">
        <v>2</v>
      </c>
      <c r="D876" t="s">
        <v>1898</v>
      </c>
      <c r="E876" t="s">
        <v>210</v>
      </c>
      <c r="F876">
        <v>28</v>
      </c>
      <c r="G876">
        <v>1</v>
      </c>
      <c r="H876">
        <v>0</v>
      </c>
      <c r="I876" t="s">
        <v>849</v>
      </c>
      <c r="J876">
        <v>24</v>
      </c>
      <c r="K876" t="s">
        <v>22</v>
      </c>
      <c r="L876" t="s">
        <v>213</v>
      </c>
    </row>
    <row r="877" spans="1:12" x14ac:dyDescent="0.3">
      <c r="A877">
        <v>876</v>
      </c>
      <c r="B877">
        <v>1</v>
      </c>
      <c r="C877">
        <v>3</v>
      </c>
      <c r="D877" t="s">
        <v>1899</v>
      </c>
      <c r="E877" t="s">
        <v>210</v>
      </c>
      <c r="F877">
        <v>15</v>
      </c>
      <c r="G877">
        <v>0</v>
      </c>
      <c r="H877">
        <v>0</v>
      </c>
      <c r="I877" t="s">
        <v>1900</v>
      </c>
      <c r="J877">
        <v>7.2249999999999996</v>
      </c>
      <c r="K877" t="s">
        <v>22</v>
      </c>
      <c r="L877" t="s">
        <v>213</v>
      </c>
    </row>
    <row r="878" spans="1:12" x14ac:dyDescent="0.3">
      <c r="A878">
        <v>877</v>
      </c>
      <c r="B878">
        <v>0</v>
      </c>
      <c r="C878">
        <v>3</v>
      </c>
      <c r="D878" t="s">
        <v>1901</v>
      </c>
      <c r="E878" t="s">
        <v>206</v>
      </c>
      <c r="F878">
        <v>20</v>
      </c>
      <c r="G878">
        <v>0</v>
      </c>
      <c r="H878">
        <v>0</v>
      </c>
      <c r="I878" t="s">
        <v>502</v>
      </c>
      <c r="J878">
        <v>9.8458000000000006</v>
      </c>
      <c r="K878" t="s">
        <v>22</v>
      </c>
      <c r="L878" t="s">
        <v>208</v>
      </c>
    </row>
    <row r="879" spans="1:12" x14ac:dyDescent="0.3">
      <c r="A879">
        <v>878</v>
      </c>
      <c r="B879">
        <v>0</v>
      </c>
      <c r="C879">
        <v>3</v>
      </c>
      <c r="D879" t="s">
        <v>1902</v>
      </c>
      <c r="E879" t="s">
        <v>206</v>
      </c>
      <c r="F879">
        <v>19</v>
      </c>
      <c r="G879">
        <v>0</v>
      </c>
      <c r="H879">
        <v>0</v>
      </c>
      <c r="I879" t="s">
        <v>1903</v>
      </c>
      <c r="J879">
        <v>7.8958000000000004</v>
      </c>
      <c r="K879" t="s">
        <v>22</v>
      </c>
      <c r="L879" t="s">
        <v>208</v>
      </c>
    </row>
    <row r="880" spans="1:12" x14ac:dyDescent="0.3">
      <c r="A880">
        <v>879</v>
      </c>
      <c r="B880">
        <v>0</v>
      </c>
      <c r="C880">
        <v>3</v>
      </c>
      <c r="D880" t="s">
        <v>1904</v>
      </c>
      <c r="E880" t="s">
        <v>206</v>
      </c>
      <c r="G880">
        <v>0</v>
      </c>
      <c r="H880">
        <v>0</v>
      </c>
      <c r="I880" t="s">
        <v>1905</v>
      </c>
      <c r="J880">
        <v>7.8958000000000004</v>
      </c>
      <c r="K880" t="s">
        <v>22</v>
      </c>
      <c r="L880" t="s">
        <v>208</v>
      </c>
    </row>
    <row r="881" spans="1:12" x14ac:dyDescent="0.3">
      <c r="A881">
        <v>880</v>
      </c>
      <c r="B881">
        <v>1</v>
      </c>
      <c r="C881">
        <v>1</v>
      </c>
      <c r="D881" t="s">
        <v>1906</v>
      </c>
      <c r="E881" t="s">
        <v>210</v>
      </c>
      <c r="F881">
        <v>56</v>
      </c>
      <c r="G881">
        <v>0</v>
      </c>
      <c r="H881">
        <v>1</v>
      </c>
      <c r="I881" t="s">
        <v>854</v>
      </c>
      <c r="J881">
        <v>83.158299999999997</v>
      </c>
      <c r="K881" t="s">
        <v>1907</v>
      </c>
      <c r="L881" t="s">
        <v>213</v>
      </c>
    </row>
    <row r="882" spans="1:12" x14ac:dyDescent="0.3">
      <c r="A882">
        <v>881</v>
      </c>
      <c r="B882">
        <v>1</v>
      </c>
      <c r="C882">
        <v>2</v>
      </c>
      <c r="D882" t="s">
        <v>1908</v>
      </c>
      <c r="E882" t="s">
        <v>210</v>
      </c>
      <c r="F882">
        <v>25</v>
      </c>
      <c r="G882">
        <v>0</v>
      </c>
      <c r="H882">
        <v>1</v>
      </c>
      <c r="I882" t="s">
        <v>746</v>
      </c>
      <c r="J882">
        <v>26</v>
      </c>
      <c r="K882" t="s">
        <v>22</v>
      </c>
      <c r="L882" t="s">
        <v>208</v>
      </c>
    </row>
    <row r="883" spans="1:12" x14ac:dyDescent="0.3">
      <c r="A883">
        <v>882</v>
      </c>
      <c r="B883">
        <v>0</v>
      </c>
      <c r="C883">
        <v>3</v>
      </c>
      <c r="D883" t="s">
        <v>1909</v>
      </c>
      <c r="E883" t="s">
        <v>206</v>
      </c>
      <c r="F883">
        <v>33</v>
      </c>
      <c r="G883">
        <v>0</v>
      </c>
      <c r="H883">
        <v>0</v>
      </c>
      <c r="I883" t="s">
        <v>1910</v>
      </c>
      <c r="J883">
        <v>7.8958000000000004</v>
      </c>
      <c r="K883" t="s">
        <v>22</v>
      </c>
      <c r="L883" t="s">
        <v>208</v>
      </c>
    </row>
    <row r="884" spans="1:12" x14ac:dyDescent="0.3">
      <c r="A884">
        <v>883</v>
      </c>
      <c r="B884">
        <v>0</v>
      </c>
      <c r="C884">
        <v>3</v>
      </c>
      <c r="D884" t="s">
        <v>1911</v>
      </c>
      <c r="E884" t="s">
        <v>210</v>
      </c>
      <c r="F884">
        <v>22</v>
      </c>
      <c r="G884">
        <v>0</v>
      </c>
      <c r="H884">
        <v>0</v>
      </c>
      <c r="I884" t="s">
        <v>1912</v>
      </c>
      <c r="J884">
        <v>10.5167</v>
      </c>
      <c r="K884" t="s">
        <v>22</v>
      </c>
      <c r="L884" t="s">
        <v>208</v>
      </c>
    </row>
    <row r="885" spans="1:12" x14ac:dyDescent="0.3">
      <c r="A885">
        <v>884</v>
      </c>
      <c r="B885">
        <v>0</v>
      </c>
      <c r="C885">
        <v>2</v>
      </c>
      <c r="D885" t="s">
        <v>1913</v>
      </c>
      <c r="E885" t="s">
        <v>206</v>
      </c>
      <c r="F885">
        <v>28</v>
      </c>
      <c r="G885">
        <v>0</v>
      </c>
      <c r="H885">
        <v>0</v>
      </c>
      <c r="I885" t="s">
        <v>1914</v>
      </c>
      <c r="J885">
        <v>10.5</v>
      </c>
      <c r="K885" t="s">
        <v>22</v>
      </c>
      <c r="L885" t="s">
        <v>208</v>
      </c>
    </row>
    <row r="886" spans="1:12" x14ac:dyDescent="0.3">
      <c r="A886">
        <v>885</v>
      </c>
      <c r="B886">
        <v>0</v>
      </c>
      <c r="C886">
        <v>3</v>
      </c>
      <c r="D886" t="s">
        <v>1915</v>
      </c>
      <c r="E886" t="s">
        <v>206</v>
      </c>
      <c r="F886">
        <v>25</v>
      </c>
      <c r="G886">
        <v>0</v>
      </c>
      <c r="H886">
        <v>0</v>
      </c>
      <c r="I886" t="s">
        <v>1916</v>
      </c>
      <c r="J886">
        <v>7.05</v>
      </c>
      <c r="K886" t="s">
        <v>22</v>
      </c>
      <c r="L886" t="s">
        <v>208</v>
      </c>
    </row>
    <row r="887" spans="1:12" x14ac:dyDescent="0.3">
      <c r="A887">
        <v>886</v>
      </c>
      <c r="B887">
        <v>0</v>
      </c>
      <c r="C887">
        <v>3</v>
      </c>
      <c r="D887" t="s">
        <v>1917</v>
      </c>
      <c r="E887" t="s">
        <v>210</v>
      </c>
      <c r="F887">
        <v>39</v>
      </c>
      <c r="G887">
        <v>0</v>
      </c>
      <c r="H887">
        <v>5</v>
      </c>
      <c r="I887" t="s">
        <v>248</v>
      </c>
      <c r="J887">
        <v>29.125</v>
      </c>
      <c r="K887" t="s">
        <v>22</v>
      </c>
      <c r="L887" t="s">
        <v>223</v>
      </c>
    </row>
    <row r="888" spans="1:12" x14ac:dyDescent="0.3">
      <c r="A888">
        <v>887</v>
      </c>
      <c r="B888">
        <v>0</v>
      </c>
      <c r="C888">
        <v>2</v>
      </c>
      <c r="D888" t="s">
        <v>1918</v>
      </c>
      <c r="E888" t="s">
        <v>206</v>
      </c>
      <c r="F888">
        <v>27</v>
      </c>
      <c r="G888">
        <v>0</v>
      </c>
      <c r="H888">
        <v>0</v>
      </c>
      <c r="I888" t="s">
        <v>1919</v>
      </c>
      <c r="J888">
        <v>13</v>
      </c>
      <c r="K888" t="s">
        <v>22</v>
      </c>
      <c r="L888" t="s">
        <v>208</v>
      </c>
    </row>
    <row r="889" spans="1:12" x14ac:dyDescent="0.3">
      <c r="A889">
        <v>888</v>
      </c>
      <c r="B889">
        <v>1</v>
      </c>
      <c r="C889">
        <v>1</v>
      </c>
      <c r="D889" t="s">
        <v>1920</v>
      </c>
      <c r="E889" t="s">
        <v>210</v>
      </c>
      <c r="F889">
        <v>19</v>
      </c>
      <c r="G889">
        <v>0</v>
      </c>
      <c r="H889">
        <v>0</v>
      </c>
      <c r="I889" t="s">
        <v>1921</v>
      </c>
      <c r="J889">
        <v>30</v>
      </c>
      <c r="K889" t="s">
        <v>1922</v>
      </c>
      <c r="L889" t="s">
        <v>208</v>
      </c>
    </row>
    <row r="890" spans="1:12" x14ac:dyDescent="0.3">
      <c r="A890">
        <v>889</v>
      </c>
      <c r="B890">
        <v>0</v>
      </c>
      <c r="C890">
        <v>3</v>
      </c>
      <c r="D890" t="s">
        <v>1923</v>
      </c>
      <c r="E890" t="s">
        <v>210</v>
      </c>
      <c r="G890">
        <v>1</v>
      </c>
      <c r="H890">
        <v>2</v>
      </c>
      <c r="I890" t="s">
        <v>1742</v>
      </c>
      <c r="J890">
        <v>23.45</v>
      </c>
      <c r="K890" t="s">
        <v>22</v>
      </c>
      <c r="L890" t="s">
        <v>208</v>
      </c>
    </row>
    <row r="891" spans="1:12" x14ac:dyDescent="0.3">
      <c r="A891">
        <v>890</v>
      </c>
      <c r="B891">
        <v>1</v>
      </c>
      <c r="C891">
        <v>1</v>
      </c>
      <c r="D891" t="s">
        <v>1924</v>
      </c>
      <c r="E891" t="s">
        <v>206</v>
      </c>
      <c r="F891">
        <v>26</v>
      </c>
      <c r="G891">
        <v>0</v>
      </c>
      <c r="H891">
        <v>0</v>
      </c>
      <c r="I891" t="s">
        <v>1925</v>
      </c>
      <c r="J891">
        <v>30</v>
      </c>
      <c r="K891" t="s">
        <v>1926</v>
      </c>
      <c r="L891" t="s">
        <v>213</v>
      </c>
    </row>
    <row r="892" spans="1:12" x14ac:dyDescent="0.3">
      <c r="A892">
        <v>891</v>
      </c>
      <c r="B892">
        <v>0</v>
      </c>
      <c r="C892">
        <v>3</v>
      </c>
      <c r="D892" t="s">
        <v>1927</v>
      </c>
      <c r="E892" t="s">
        <v>206</v>
      </c>
      <c r="F892">
        <v>32</v>
      </c>
      <c r="G892">
        <v>0</v>
      </c>
      <c r="H892">
        <v>0</v>
      </c>
      <c r="I892" t="s">
        <v>1928</v>
      </c>
      <c r="J892">
        <v>7.75</v>
      </c>
      <c r="K892" t="s">
        <v>22</v>
      </c>
      <c r="L892" t="s">
        <v>223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4355-1AF0-4FDA-B744-ED4E121590D6}">
  <sheetPr codeName="Sheet3"/>
  <dimension ref="A1:AD676"/>
  <sheetViews>
    <sheetView topLeftCell="H1" workbookViewId="0">
      <selection activeCell="M12" sqref="M12"/>
    </sheetView>
  </sheetViews>
  <sheetFormatPr defaultRowHeight="14.4" x14ac:dyDescent="0.3"/>
  <sheetData>
    <row r="1" spans="1:30" x14ac:dyDescent="0.3">
      <c r="A1" t="s">
        <v>1929</v>
      </c>
      <c r="B1" t="s">
        <v>1930</v>
      </c>
      <c r="C1" t="s">
        <v>1931</v>
      </c>
      <c r="D1" t="s">
        <v>198</v>
      </c>
      <c r="E1" t="s">
        <v>1932</v>
      </c>
      <c r="F1" t="s">
        <v>1933</v>
      </c>
      <c r="G1" t="s">
        <v>1934</v>
      </c>
      <c r="H1" t="s">
        <v>1935</v>
      </c>
      <c r="I1" t="s">
        <v>1936</v>
      </c>
      <c r="J1" t="s">
        <v>1937</v>
      </c>
      <c r="K1" t="s">
        <v>1938</v>
      </c>
      <c r="L1" t="s">
        <v>1939</v>
      </c>
      <c r="M1" t="s">
        <v>1940</v>
      </c>
      <c r="N1" t="s">
        <v>1941</v>
      </c>
      <c r="O1" t="s">
        <v>1942</v>
      </c>
      <c r="P1" t="s">
        <v>1943</v>
      </c>
      <c r="Q1" t="s">
        <v>1944</v>
      </c>
      <c r="R1" t="s">
        <v>1945</v>
      </c>
      <c r="S1" t="s">
        <v>1946</v>
      </c>
      <c r="T1" t="s">
        <v>1947</v>
      </c>
      <c r="U1" t="s">
        <v>1948</v>
      </c>
      <c r="V1" t="s">
        <v>1949</v>
      </c>
      <c r="W1" t="s">
        <v>1950</v>
      </c>
      <c r="X1" t="s">
        <v>1951</v>
      </c>
      <c r="Y1" t="s">
        <v>1952</v>
      </c>
      <c r="Z1" t="s">
        <v>1953</v>
      </c>
      <c r="AA1" t="s">
        <v>1954</v>
      </c>
      <c r="AB1" t="s">
        <v>1955</v>
      </c>
      <c r="AC1" t="s">
        <v>1956</v>
      </c>
      <c r="AD1" t="s">
        <v>1957</v>
      </c>
    </row>
    <row r="2" spans="1:30" x14ac:dyDescent="0.3">
      <c r="A2">
        <v>1</v>
      </c>
      <c r="B2" t="s">
        <v>1958</v>
      </c>
      <c r="C2" t="s">
        <v>1956</v>
      </c>
      <c r="D2">
        <v>24</v>
      </c>
      <c r="E2" t="s">
        <v>1959</v>
      </c>
      <c r="F2">
        <v>68</v>
      </c>
      <c r="G2">
        <v>22</v>
      </c>
      <c r="H2">
        <v>1287</v>
      </c>
      <c r="I2">
        <v>152</v>
      </c>
      <c r="J2">
        <v>331</v>
      </c>
      <c r="K2">
        <v>0.45900000000000002</v>
      </c>
      <c r="L2">
        <v>18</v>
      </c>
      <c r="M2">
        <v>60</v>
      </c>
      <c r="N2">
        <v>0.3</v>
      </c>
      <c r="O2">
        <v>134</v>
      </c>
      <c r="P2">
        <v>271</v>
      </c>
      <c r="Q2">
        <v>0.49399999999999999</v>
      </c>
      <c r="R2">
        <v>0.48599999999999999</v>
      </c>
      <c r="S2">
        <v>76</v>
      </c>
      <c r="T2">
        <v>97</v>
      </c>
      <c r="U2">
        <v>0.78400000000000003</v>
      </c>
      <c r="V2">
        <v>79</v>
      </c>
      <c r="W2">
        <v>222</v>
      </c>
      <c r="X2">
        <v>301</v>
      </c>
      <c r="Y2">
        <v>68</v>
      </c>
      <c r="Z2">
        <v>27</v>
      </c>
      <c r="AA2">
        <v>22</v>
      </c>
      <c r="AB2">
        <v>60</v>
      </c>
      <c r="AC2">
        <v>147</v>
      </c>
      <c r="AD2">
        <v>398</v>
      </c>
    </row>
    <row r="3" spans="1:30" x14ac:dyDescent="0.3">
      <c r="A3">
        <v>2</v>
      </c>
      <c r="B3" t="s">
        <v>1960</v>
      </c>
      <c r="C3" t="s">
        <v>1961</v>
      </c>
      <c r="D3">
        <v>20</v>
      </c>
      <c r="E3" t="s">
        <v>1962</v>
      </c>
      <c r="F3">
        <v>30</v>
      </c>
      <c r="G3">
        <v>0</v>
      </c>
      <c r="H3">
        <v>248</v>
      </c>
      <c r="I3">
        <v>35</v>
      </c>
      <c r="J3">
        <v>86</v>
      </c>
      <c r="K3">
        <v>0.40699999999999997</v>
      </c>
      <c r="L3">
        <v>10</v>
      </c>
      <c r="M3">
        <v>25</v>
      </c>
      <c r="N3">
        <v>0.4</v>
      </c>
      <c r="O3">
        <v>25</v>
      </c>
      <c r="P3">
        <v>61</v>
      </c>
      <c r="Q3">
        <v>0.41</v>
      </c>
      <c r="R3">
        <v>0.46500000000000002</v>
      </c>
      <c r="S3">
        <v>14</v>
      </c>
      <c r="T3">
        <v>23</v>
      </c>
      <c r="U3">
        <v>0.60899999999999999</v>
      </c>
      <c r="V3">
        <v>9</v>
      </c>
      <c r="W3">
        <v>19</v>
      </c>
      <c r="X3">
        <v>28</v>
      </c>
      <c r="Y3">
        <v>16</v>
      </c>
      <c r="Z3">
        <v>16</v>
      </c>
      <c r="AA3">
        <v>7</v>
      </c>
      <c r="AB3">
        <v>14</v>
      </c>
      <c r="AC3">
        <v>24</v>
      </c>
      <c r="AD3">
        <v>94</v>
      </c>
    </row>
    <row r="4" spans="1:30" x14ac:dyDescent="0.3">
      <c r="A4">
        <v>3</v>
      </c>
      <c r="B4" t="s">
        <v>1963</v>
      </c>
      <c r="C4" t="s">
        <v>213</v>
      </c>
      <c r="D4">
        <v>21</v>
      </c>
      <c r="E4" t="s">
        <v>1964</v>
      </c>
      <c r="F4">
        <v>70</v>
      </c>
      <c r="G4">
        <v>67</v>
      </c>
      <c r="H4">
        <v>1771</v>
      </c>
      <c r="I4">
        <v>217</v>
      </c>
      <c r="J4">
        <v>399</v>
      </c>
      <c r="K4">
        <v>0.54400000000000004</v>
      </c>
      <c r="L4">
        <v>0</v>
      </c>
      <c r="M4">
        <v>2</v>
      </c>
      <c r="N4">
        <v>0</v>
      </c>
      <c r="O4">
        <v>217</v>
      </c>
      <c r="P4">
        <v>397</v>
      </c>
      <c r="Q4">
        <v>0.54700000000000004</v>
      </c>
      <c r="R4">
        <v>0.54400000000000004</v>
      </c>
      <c r="S4">
        <v>103</v>
      </c>
      <c r="T4">
        <v>205</v>
      </c>
      <c r="U4">
        <v>0.502</v>
      </c>
      <c r="V4">
        <v>199</v>
      </c>
      <c r="W4">
        <v>324</v>
      </c>
      <c r="X4">
        <v>523</v>
      </c>
      <c r="Y4">
        <v>66</v>
      </c>
      <c r="Z4">
        <v>38</v>
      </c>
      <c r="AA4">
        <v>86</v>
      </c>
      <c r="AB4">
        <v>99</v>
      </c>
      <c r="AC4">
        <v>222</v>
      </c>
      <c r="AD4">
        <v>537</v>
      </c>
    </row>
    <row r="5" spans="1:30" x14ac:dyDescent="0.3">
      <c r="A5">
        <v>4</v>
      </c>
      <c r="B5" t="s">
        <v>1965</v>
      </c>
      <c r="C5" t="s">
        <v>1956</v>
      </c>
      <c r="D5">
        <v>28</v>
      </c>
      <c r="E5" t="s">
        <v>1966</v>
      </c>
      <c r="F5">
        <v>17</v>
      </c>
      <c r="G5">
        <v>0</v>
      </c>
      <c r="H5">
        <v>215</v>
      </c>
      <c r="I5">
        <v>19</v>
      </c>
      <c r="J5">
        <v>44</v>
      </c>
      <c r="K5">
        <v>0.432</v>
      </c>
      <c r="L5">
        <v>0</v>
      </c>
      <c r="M5">
        <v>0</v>
      </c>
      <c r="O5">
        <v>19</v>
      </c>
      <c r="P5">
        <v>44</v>
      </c>
      <c r="Q5">
        <v>0.432</v>
      </c>
      <c r="R5">
        <v>0.432</v>
      </c>
      <c r="S5">
        <v>22</v>
      </c>
      <c r="T5">
        <v>38</v>
      </c>
      <c r="U5">
        <v>0.57899999999999996</v>
      </c>
      <c r="V5">
        <v>23</v>
      </c>
      <c r="W5">
        <v>54</v>
      </c>
      <c r="X5">
        <v>77</v>
      </c>
      <c r="Y5">
        <v>15</v>
      </c>
      <c r="Z5">
        <v>4</v>
      </c>
      <c r="AA5">
        <v>9</v>
      </c>
      <c r="AB5">
        <v>9</v>
      </c>
      <c r="AC5">
        <v>30</v>
      </c>
      <c r="AD5">
        <v>60</v>
      </c>
    </row>
    <row r="6" spans="1:30" x14ac:dyDescent="0.3">
      <c r="A6">
        <v>5</v>
      </c>
      <c r="B6" t="s">
        <v>1967</v>
      </c>
      <c r="C6" t="s">
        <v>1961</v>
      </c>
      <c r="D6">
        <v>29</v>
      </c>
      <c r="E6" t="s">
        <v>1968</v>
      </c>
      <c r="F6">
        <v>78</v>
      </c>
      <c r="G6">
        <v>72</v>
      </c>
      <c r="H6">
        <v>2502</v>
      </c>
      <c r="I6">
        <v>375</v>
      </c>
      <c r="J6">
        <v>884</v>
      </c>
      <c r="K6">
        <v>0.42399999999999999</v>
      </c>
      <c r="L6">
        <v>118</v>
      </c>
      <c r="M6">
        <v>333</v>
      </c>
      <c r="N6">
        <v>0.35399999999999998</v>
      </c>
      <c r="O6">
        <v>257</v>
      </c>
      <c r="P6">
        <v>551</v>
      </c>
      <c r="Q6">
        <v>0.46600000000000003</v>
      </c>
      <c r="R6">
        <v>0.49099999999999999</v>
      </c>
      <c r="S6">
        <v>167</v>
      </c>
      <c r="T6">
        <v>198</v>
      </c>
      <c r="U6">
        <v>0.84299999999999997</v>
      </c>
      <c r="V6">
        <v>27</v>
      </c>
      <c r="W6">
        <v>220</v>
      </c>
      <c r="X6">
        <v>247</v>
      </c>
      <c r="Y6">
        <v>129</v>
      </c>
      <c r="Z6">
        <v>41</v>
      </c>
      <c r="AA6">
        <v>7</v>
      </c>
      <c r="AB6">
        <v>116</v>
      </c>
      <c r="AC6">
        <v>167</v>
      </c>
      <c r="AD6">
        <v>1035</v>
      </c>
    </row>
    <row r="7" spans="1:30" x14ac:dyDescent="0.3">
      <c r="A7">
        <v>5</v>
      </c>
      <c r="B7" t="s">
        <v>1967</v>
      </c>
      <c r="C7" t="s">
        <v>1961</v>
      </c>
      <c r="D7">
        <v>29</v>
      </c>
      <c r="E7" t="s">
        <v>1969</v>
      </c>
      <c r="F7">
        <v>53</v>
      </c>
      <c r="G7">
        <v>53</v>
      </c>
      <c r="H7">
        <v>1750</v>
      </c>
      <c r="I7">
        <v>281</v>
      </c>
      <c r="J7">
        <v>657</v>
      </c>
      <c r="K7">
        <v>0.42799999999999999</v>
      </c>
      <c r="L7">
        <v>82</v>
      </c>
      <c r="M7">
        <v>243</v>
      </c>
      <c r="N7">
        <v>0.33700000000000002</v>
      </c>
      <c r="O7">
        <v>199</v>
      </c>
      <c r="P7">
        <v>414</v>
      </c>
      <c r="Q7">
        <v>0.48099999999999998</v>
      </c>
      <c r="R7">
        <v>0.49</v>
      </c>
      <c r="S7">
        <v>127</v>
      </c>
      <c r="T7">
        <v>151</v>
      </c>
      <c r="U7">
        <v>0.84099999999999997</v>
      </c>
      <c r="V7">
        <v>21</v>
      </c>
      <c r="W7">
        <v>159</v>
      </c>
      <c r="X7">
        <v>180</v>
      </c>
      <c r="Y7">
        <v>101</v>
      </c>
      <c r="Z7">
        <v>32</v>
      </c>
      <c r="AA7">
        <v>5</v>
      </c>
      <c r="AB7">
        <v>83</v>
      </c>
      <c r="AC7">
        <v>108</v>
      </c>
      <c r="AD7">
        <v>771</v>
      </c>
    </row>
    <row r="8" spans="1:30" x14ac:dyDescent="0.3">
      <c r="A8">
        <v>5</v>
      </c>
      <c r="B8" t="s">
        <v>1967</v>
      </c>
      <c r="C8" t="s">
        <v>1961</v>
      </c>
      <c r="D8">
        <v>29</v>
      </c>
      <c r="E8" t="s">
        <v>1970</v>
      </c>
      <c r="F8">
        <v>25</v>
      </c>
      <c r="G8">
        <v>19</v>
      </c>
      <c r="H8">
        <v>752</v>
      </c>
      <c r="I8">
        <v>94</v>
      </c>
      <c r="J8">
        <v>227</v>
      </c>
      <c r="K8">
        <v>0.41399999999999998</v>
      </c>
      <c r="L8">
        <v>36</v>
      </c>
      <c r="M8">
        <v>90</v>
      </c>
      <c r="N8">
        <v>0.4</v>
      </c>
      <c r="O8">
        <v>58</v>
      </c>
      <c r="P8">
        <v>137</v>
      </c>
      <c r="Q8">
        <v>0.42299999999999999</v>
      </c>
      <c r="R8">
        <v>0.49299999999999999</v>
      </c>
      <c r="S8">
        <v>40</v>
      </c>
      <c r="T8">
        <v>47</v>
      </c>
      <c r="U8">
        <v>0.85099999999999998</v>
      </c>
      <c r="V8">
        <v>6</v>
      </c>
      <c r="W8">
        <v>61</v>
      </c>
      <c r="X8">
        <v>67</v>
      </c>
      <c r="Y8">
        <v>28</v>
      </c>
      <c r="Z8">
        <v>9</v>
      </c>
      <c r="AA8">
        <v>2</v>
      </c>
      <c r="AB8">
        <v>33</v>
      </c>
      <c r="AC8">
        <v>59</v>
      </c>
      <c r="AD8">
        <v>264</v>
      </c>
    </row>
    <row r="9" spans="1:30" x14ac:dyDescent="0.3">
      <c r="A9">
        <v>6</v>
      </c>
      <c r="B9" t="s">
        <v>1971</v>
      </c>
      <c r="C9" t="s">
        <v>213</v>
      </c>
      <c r="D9">
        <v>26</v>
      </c>
      <c r="E9" t="s">
        <v>1972</v>
      </c>
      <c r="F9">
        <v>68</v>
      </c>
      <c r="G9">
        <v>8</v>
      </c>
      <c r="H9">
        <v>957</v>
      </c>
      <c r="I9">
        <v>181</v>
      </c>
      <c r="J9">
        <v>329</v>
      </c>
      <c r="K9">
        <v>0.55000000000000004</v>
      </c>
      <c r="L9">
        <v>0</v>
      </c>
      <c r="M9">
        <v>0</v>
      </c>
      <c r="O9">
        <v>181</v>
      </c>
      <c r="P9">
        <v>329</v>
      </c>
      <c r="Q9">
        <v>0.55000000000000004</v>
      </c>
      <c r="R9">
        <v>0.55000000000000004</v>
      </c>
      <c r="S9">
        <v>81</v>
      </c>
      <c r="T9">
        <v>99</v>
      </c>
      <c r="U9">
        <v>0.81799999999999995</v>
      </c>
      <c r="V9">
        <v>104</v>
      </c>
      <c r="W9">
        <v>211</v>
      </c>
      <c r="X9">
        <v>315</v>
      </c>
      <c r="Y9">
        <v>47</v>
      </c>
      <c r="Z9">
        <v>21</v>
      </c>
      <c r="AA9">
        <v>51</v>
      </c>
      <c r="AB9">
        <v>69</v>
      </c>
      <c r="AC9">
        <v>151</v>
      </c>
      <c r="AD9">
        <v>443</v>
      </c>
    </row>
    <row r="10" spans="1:30" x14ac:dyDescent="0.3">
      <c r="A10">
        <v>7</v>
      </c>
      <c r="B10" t="s">
        <v>1973</v>
      </c>
      <c r="C10" t="s">
        <v>1956</v>
      </c>
      <c r="D10">
        <v>23</v>
      </c>
      <c r="E10" t="s">
        <v>1974</v>
      </c>
      <c r="F10">
        <v>41</v>
      </c>
      <c r="G10">
        <v>9</v>
      </c>
      <c r="H10">
        <v>540</v>
      </c>
      <c r="I10">
        <v>40</v>
      </c>
      <c r="J10">
        <v>78</v>
      </c>
      <c r="K10">
        <v>0.51300000000000001</v>
      </c>
      <c r="L10">
        <v>0</v>
      </c>
      <c r="M10">
        <v>5</v>
      </c>
      <c r="N10">
        <v>0</v>
      </c>
      <c r="O10">
        <v>40</v>
      </c>
      <c r="P10">
        <v>73</v>
      </c>
      <c r="Q10">
        <v>0.54800000000000004</v>
      </c>
      <c r="R10">
        <v>0.51300000000000001</v>
      </c>
      <c r="S10">
        <v>13</v>
      </c>
      <c r="T10">
        <v>27</v>
      </c>
      <c r="U10">
        <v>0.48099999999999998</v>
      </c>
      <c r="V10">
        <v>78</v>
      </c>
      <c r="W10">
        <v>98</v>
      </c>
      <c r="X10">
        <v>176</v>
      </c>
      <c r="Y10">
        <v>28</v>
      </c>
      <c r="Z10">
        <v>17</v>
      </c>
      <c r="AA10">
        <v>16</v>
      </c>
      <c r="AB10">
        <v>17</v>
      </c>
      <c r="AC10">
        <v>96</v>
      </c>
      <c r="AD10">
        <v>93</v>
      </c>
    </row>
    <row r="11" spans="1:30" x14ac:dyDescent="0.3">
      <c r="A11">
        <v>8</v>
      </c>
      <c r="B11" t="s">
        <v>1975</v>
      </c>
      <c r="C11" t="s">
        <v>213</v>
      </c>
      <c r="D11">
        <v>26</v>
      </c>
      <c r="E11" t="s">
        <v>1959</v>
      </c>
      <c r="F11">
        <v>61</v>
      </c>
      <c r="G11">
        <v>16</v>
      </c>
      <c r="H11">
        <v>976</v>
      </c>
      <c r="I11">
        <v>144</v>
      </c>
      <c r="J11">
        <v>301</v>
      </c>
      <c r="K11">
        <v>0.47799999999999998</v>
      </c>
      <c r="L11">
        <v>0</v>
      </c>
      <c r="M11">
        <v>0</v>
      </c>
      <c r="O11">
        <v>144</v>
      </c>
      <c r="P11">
        <v>301</v>
      </c>
      <c r="Q11">
        <v>0.47799999999999998</v>
      </c>
      <c r="R11">
        <v>0.47799999999999998</v>
      </c>
      <c r="S11">
        <v>50</v>
      </c>
      <c r="T11">
        <v>64</v>
      </c>
      <c r="U11">
        <v>0.78100000000000003</v>
      </c>
      <c r="V11">
        <v>101</v>
      </c>
      <c r="W11">
        <v>237</v>
      </c>
      <c r="X11">
        <v>338</v>
      </c>
      <c r="Y11">
        <v>75</v>
      </c>
      <c r="Z11">
        <v>37</v>
      </c>
      <c r="AA11">
        <v>65</v>
      </c>
      <c r="AB11">
        <v>59</v>
      </c>
      <c r="AC11">
        <v>122</v>
      </c>
      <c r="AD11">
        <v>338</v>
      </c>
    </row>
    <row r="12" spans="1:30" x14ac:dyDescent="0.3">
      <c r="A12">
        <v>9</v>
      </c>
      <c r="B12" t="s">
        <v>1976</v>
      </c>
      <c r="C12" t="s">
        <v>1956</v>
      </c>
      <c r="D12">
        <v>29</v>
      </c>
      <c r="E12" t="s">
        <v>1970</v>
      </c>
      <c r="F12">
        <v>71</v>
      </c>
      <c r="G12">
        <v>71</v>
      </c>
      <c r="H12">
        <v>2512</v>
      </c>
      <c r="I12">
        <v>659</v>
      </c>
      <c r="J12">
        <v>1415</v>
      </c>
      <c r="K12">
        <v>0.46600000000000003</v>
      </c>
      <c r="L12">
        <v>37</v>
      </c>
      <c r="M12">
        <v>105</v>
      </c>
      <c r="N12">
        <v>0.35199999999999998</v>
      </c>
      <c r="O12">
        <v>622</v>
      </c>
      <c r="P12">
        <v>1310</v>
      </c>
      <c r="Q12">
        <v>0.47499999999999998</v>
      </c>
      <c r="R12">
        <v>0.47899999999999998</v>
      </c>
      <c r="S12">
        <v>306</v>
      </c>
      <c r="T12">
        <v>362</v>
      </c>
      <c r="U12">
        <v>0.84499999999999997</v>
      </c>
      <c r="V12">
        <v>177</v>
      </c>
      <c r="W12">
        <v>549</v>
      </c>
      <c r="X12">
        <v>726</v>
      </c>
      <c r="Y12">
        <v>124</v>
      </c>
      <c r="Z12">
        <v>48</v>
      </c>
      <c r="AA12">
        <v>68</v>
      </c>
      <c r="AB12">
        <v>122</v>
      </c>
      <c r="AC12">
        <v>125</v>
      </c>
      <c r="AD12">
        <v>1661</v>
      </c>
    </row>
    <row r="13" spans="1:30" x14ac:dyDescent="0.3">
      <c r="A13">
        <v>10</v>
      </c>
      <c r="B13" t="s">
        <v>1977</v>
      </c>
      <c r="C13" t="s">
        <v>213</v>
      </c>
      <c r="D13">
        <v>25</v>
      </c>
      <c r="E13" t="s">
        <v>1978</v>
      </c>
      <c r="F13">
        <v>63</v>
      </c>
      <c r="G13">
        <v>0</v>
      </c>
      <c r="H13">
        <v>1070</v>
      </c>
      <c r="I13">
        <v>141</v>
      </c>
      <c r="J13">
        <v>299</v>
      </c>
      <c r="K13">
        <v>0.47199999999999998</v>
      </c>
      <c r="L13">
        <v>0</v>
      </c>
      <c r="M13">
        <v>0</v>
      </c>
      <c r="O13">
        <v>141</v>
      </c>
      <c r="P13">
        <v>299</v>
      </c>
      <c r="Q13">
        <v>0.47199999999999998</v>
      </c>
      <c r="R13">
        <v>0.47199999999999998</v>
      </c>
      <c r="S13">
        <v>33</v>
      </c>
      <c r="T13">
        <v>47</v>
      </c>
      <c r="U13">
        <v>0.70199999999999996</v>
      </c>
      <c r="V13">
        <v>123</v>
      </c>
      <c r="W13">
        <v>200</v>
      </c>
      <c r="X13">
        <v>323</v>
      </c>
      <c r="Y13">
        <v>73</v>
      </c>
      <c r="Z13">
        <v>15</v>
      </c>
      <c r="AA13">
        <v>42</v>
      </c>
      <c r="AB13">
        <v>40</v>
      </c>
      <c r="AC13">
        <v>102</v>
      </c>
      <c r="AD13">
        <v>315</v>
      </c>
    </row>
    <row r="14" spans="1:30" x14ac:dyDescent="0.3">
      <c r="A14">
        <v>11</v>
      </c>
      <c r="B14" t="s">
        <v>1979</v>
      </c>
      <c r="C14" t="s">
        <v>1961</v>
      </c>
      <c r="D14">
        <v>33</v>
      </c>
      <c r="E14" t="s">
        <v>1962</v>
      </c>
      <c r="F14">
        <v>63</v>
      </c>
      <c r="G14">
        <v>41</v>
      </c>
      <c r="H14">
        <v>1648</v>
      </c>
      <c r="I14">
        <v>225</v>
      </c>
      <c r="J14">
        <v>455</v>
      </c>
      <c r="K14">
        <v>0.495</v>
      </c>
      <c r="L14">
        <v>10</v>
      </c>
      <c r="M14">
        <v>29</v>
      </c>
      <c r="N14">
        <v>0.34499999999999997</v>
      </c>
      <c r="O14">
        <v>215</v>
      </c>
      <c r="P14">
        <v>426</v>
      </c>
      <c r="Q14">
        <v>0.505</v>
      </c>
      <c r="R14">
        <v>0.505</v>
      </c>
      <c r="S14">
        <v>79</v>
      </c>
      <c r="T14">
        <v>126</v>
      </c>
      <c r="U14">
        <v>0.627</v>
      </c>
      <c r="V14">
        <v>103</v>
      </c>
      <c r="W14">
        <v>177</v>
      </c>
      <c r="X14">
        <v>280</v>
      </c>
      <c r="Y14">
        <v>86</v>
      </c>
      <c r="Z14">
        <v>129</v>
      </c>
      <c r="AA14">
        <v>30</v>
      </c>
      <c r="AB14">
        <v>86</v>
      </c>
      <c r="AC14">
        <v>166</v>
      </c>
      <c r="AD14">
        <v>539</v>
      </c>
    </row>
    <row r="15" spans="1:30" x14ac:dyDescent="0.3">
      <c r="A15">
        <v>12</v>
      </c>
      <c r="B15" t="s">
        <v>1980</v>
      </c>
      <c r="C15" t="s">
        <v>1981</v>
      </c>
      <c r="D15">
        <v>24</v>
      </c>
      <c r="E15" t="s">
        <v>1982</v>
      </c>
      <c r="F15">
        <v>74</v>
      </c>
      <c r="G15">
        <v>3</v>
      </c>
      <c r="H15">
        <v>1366</v>
      </c>
      <c r="I15">
        <v>147</v>
      </c>
      <c r="J15">
        <v>357</v>
      </c>
      <c r="K15">
        <v>0.41199999999999998</v>
      </c>
      <c r="L15">
        <v>34</v>
      </c>
      <c r="M15">
        <v>124</v>
      </c>
      <c r="N15">
        <v>0.27400000000000002</v>
      </c>
      <c r="O15">
        <v>113</v>
      </c>
      <c r="P15">
        <v>233</v>
      </c>
      <c r="Q15">
        <v>0.48499999999999999</v>
      </c>
      <c r="R15">
        <v>0.45900000000000002</v>
      </c>
      <c r="S15">
        <v>84</v>
      </c>
      <c r="T15">
        <v>118</v>
      </c>
      <c r="U15">
        <v>0.71199999999999997</v>
      </c>
      <c r="V15">
        <v>114</v>
      </c>
      <c r="W15">
        <v>228</v>
      </c>
      <c r="X15">
        <v>342</v>
      </c>
      <c r="Y15">
        <v>59</v>
      </c>
      <c r="Z15">
        <v>70</v>
      </c>
      <c r="AA15">
        <v>62</v>
      </c>
      <c r="AB15">
        <v>55</v>
      </c>
      <c r="AC15">
        <v>137</v>
      </c>
      <c r="AD15">
        <v>412</v>
      </c>
    </row>
    <row r="16" spans="1:30" x14ac:dyDescent="0.3">
      <c r="A16">
        <v>13</v>
      </c>
      <c r="B16" t="s">
        <v>1983</v>
      </c>
      <c r="C16" t="s">
        <v>1956</v>
      </c>
      <c r="D16">
        <v>32</v>
      </c>
      <c r="E16" t="s">
        <v>1968</v>
      </c>
      <c r="F16">
        <v>53</v>
      </c>
      <c r="G16">
        <v>35</v>
      </c>
      <c r="H16">
        <v>937</v>
      </c>
      <c r="I16">
        <v>109</v>
      </c>
      <c r="J16">
        <v>255</v>
      </c>
      <c r="K16">
        <v>0.42699999999999999</v>
      </c>
      <c r="L16">
        <v>0</v>
      </c>
      <c r="M16">
        <v>1</v>
      </c>
      <c r="N16">
        <v>0</v>
      </c>
      <c r="O16">
        <v>109</v>
      </c>
      <c r="P16">
        <v>254</v>
      </c>
      <c r="Q16">
        <v>0.42899999999999999</v>
      </c>
      <c r="R16">
        <v>0.42699999999999999</v>
      </c>
      <c r="S16">
        <v>41</v>
      </c>
      <c r="T16">
        <v>87</v>
      </c>
      <c r="U16">
        <v>0.47099999999999997</v>
      </c>
      <c r="V16">
        <v>94</v>
      </c>
      <c r="W16">
        <v>174</v>
      </c>
      <c r="X16">
        <v>268</v>
      </c>
      <c r="Y16">
        <v>70</v>
      </c>
      <c r="Z16">
        <v>22</v>
      </c>
      <c r="AA16">
        <v>52</v>
      </c>
      <c r="AB16">
        <v>62</v>
      </c>
      <c r="AC16">
        <v>126</v>
      </c>
      <c r="AD16">
        <v>259</v>
      </c>
    </row>
    <row r="17" spans="1:30" x14ac:dyDescent="0.3">
      <c r="A17">
        <v>13</v>
      </c>
      <c r="B17" t="s">
        <v>1983</v>
      </c>
      <c r="C17" t="s">
        <v>1956</v>
      </c>
      <c r="D17">
        <v>32</v>
      </c>
      <c r="E17" t="s">
        <v>1984</v>
      </c>
      <c r="F17">
        <v>12</v>
      </c>
      <c r="G17">
        <v>0</v>
      </c>
      <c r="H17">
        <v>79</v>
      </c>
      <c r="I17">
        <v>4</v>
      </c>
      <c r="J17">
        <v>12</v>
      </c>
      <c r="K17">
        <v>0.33300000000000002</v>
      </c>
      <c r="L17">
        <v>0</v>
      </c>
      <c r="M17">
        <v>0</v>
      </c>
      <c r="O17">
        <v>4</v>
      </c>
      <c r="P17">
        <v>12</v>
      </c>
      <c r="Q17">
        <v>0.33300000000000002</v>
      </c>
      <c r="R17">
        <v>0.33300000000000002</v>
      </c>
      <c r="S17">
        <v>3</v>
      </c>
      <c r="T17">
        <v>5</v>
      </c>
      <c r="U17">
        <v>0.6</v>
      </c>
      <c r="V17">
        <v>5</v>
      </c>
      <c r="W17">
        <v>15</v>
      </c>
      <c r="X17">
        <v>20</v>
      </c>
      <c r="Y17">
        <v>5</v>
      </c>
      <c r="Z17">
        <v>1</v>
      </c>
      <c r="AA17">
        <v>0</v>
      </c>
      <c r="AB17">
        <v>5</v>
      </c>
      <c r="AC17">
        <v>11</v>
      </c>
      <c r="AD17">
        <v>11</v>
      </c>
    </row>
    <row r="18" spans="1:30" x14ac:dyDescent="0.3">
      <c r="A18">
        <v>13</v>
      </c>
      <c r="B18" t="s">
        <v>1983</v>
      </c>
      <c r="C18" t="s">
        <v>1956</v>
      </c>
      <c r="D18">
        <v>32</v>
      </c>
      <c r="E18" t="s">
        <v>1959</v>
      </c>
      <c r="F18">
        <v>41</v>
      </c>
      <c r="G18">
        <v>35</v>
      </c>
      <c r="H18">
        <v>858</v>
      </c>
      <c r="I18">
        <v>105</v>
      </c>
      <c r="J18">
        <v>243</v>
      </c>
      <c r="K18">
        <v>0.432</v>
      </c>
      <c r="L18">
        <v>0</v>
      </c>
      <c r="M18">
        <v>1</v>
      </c>
      <c r="N18">
        <v>0</v>
      </c>
      <c r="O18">
        <v>105</v>
      </c>
      <c r="P18">
        <v>242</v>
      </c>
      <c r="Q18">
        <v>0.434</v>
      </c>
      <c r="R18">
        <v>0.432</v>
      </c>
      <c r="S18">
        <v>38</v>
      </c>
      <c r="T18">
        <v>82</v>
      </c>
      <c r="U18">
        <v>0.46300000000000002</v>
      </c>
      <c r="V18">
        <v>89</v>
      </c>
      <c r="W18">
        <v>159</v>
      </c>
      <c r="X18">
        <v>248</v>
      </c>
      <c r="Y18">
        <v>65</v>
      </c>
      <c r="Z18">
        <v>21</v>
      </c>
      <c r="AA18">
        <v>52</v>
      </c>
      <c r="AB18">
        <v>57</v>
      </c>
      <c r="AC18">
        <v>115</v>
      </c>
      <c r="AD18">
        <v>248</v>
      </c>
    </row>
    <row r="19" spans="1:30" x14ac:dyDescent="0.3">
      <c r="A19">
        <v>14</v>
      </c>
      <c r="B19" t="s">
        <v>1985</v>
      </c>
      <c r="C19" t="s">
        <v>213</v>
      </c>
      <c r="D19">
        <v>36</v>
      </c>
      <c r="E19" t="s">
        <v>1986</v>
      </c>
      <c r="F19">
        <v>60</v>
      </c>
      <c r="G19">
        <v>20</v>
      </c>
      <c r="H19">
        <v>1132</v>
      </c>
      <c r="I19">
        <v>120</v>
      </c>
      <c r="J19">
        <v>207</v>
      </c>
      <c r="K19">
        <v>0.57999999999999996</v>
      </c>
      <c r="L19">
        <v>4</v>
      </c>
      <c r="M19">
        <v>13</v>
      </c>
      <c r="N19">
        <v>0.308</v>
      </c>
      <c r="O19">
        <v>116</v>
      </c>
      <c r="P19">
        <v>194</v>
      </c>
      <c r="Q19">
        <v>0.59799999999999998</v>
      </c>
      <c r="R19">
        <v>0.58899999999999997</v>
      </c>
      <c r="S19">
        <v>76</v>
      </c>
      <c r="T19">
        <v>114</v>
      </c>
      <c r="U19">
        <v>0.66700000000000004</v>
      </c>
      <c r="V19">
        <v>76</v>
      </c>
      <c r="W19">
        <v>223</v>
      </c>
      <c r="X19">
        <v>299</v>
      </c>
      <c r="Y19">
        <v>43</v>
      </c>
      <c r="Z19">
        <v>26</v>
      </c>
      <c r="AA19">
        <v>61</v>
      </c>
      <c r="AB19">
        <v>40</v>
      </c>
      <c r="AC19">
        <v>88</v>
      </c>
      <c r="AD19">
        <v>320</v>
      </c>
    </row>
    <row r="20" spans="1:30" x14ac:dyDescent="0.3">
      <c r="A20">
        <v>15</v>
      </c>
      <c r="B20" t="s">
        <v>1987</v>
      </c>
      <c r="C20" t="s">
        <v>1961</v>
      </c>
      <c r="D20">
        <v>32</v>
      </c>
      <c r="E20" t="s">
        <v>1988</v>
      </c>
      <c r="F20">
        <v>74</v>
      </c>
      <c r="G20">
        <v>19</v>
      </c>
      <c r="H20">
        <v>1744</v>
      </c>
      <c r="I20">
        <v>195</v>
      </c>
      <c r="J20">
        <v>440</v>
      </c>
      <c r="K20">
        <v>0.443</v>
      </c>
      <c r="L20">
        <v>73</v>
      </c>
      <c r="M20">
        <v>210</v>
      </c>
      <c r="N20">
        <v>0.34799999999999998</v>
      </c>
      <c r="O20">
        <v>122</v>
      </c>
      <c r="P20">
        <v>230</v>
      </c>
      <c r="Q20">
        <v>0.53</v>
      </c>
      <c r="R20">
        <v>0.52600000000000002</v>
      </c>
      <c r="S20">
        <v>82</v>
      </c>
      <c r="T20">
        <v>101</v>
      </c>
      <c r="U20">
        <v>0.81200000000000006</v>
      </c>
      <c r="V20">
        <v>31</v>
      </c>
      <c r="W20">
        <v>173</v>
      </c>
      <c r="X20">
        <v>204</v>
      </c>
      <c r="Y20">
        <v>83</v>
      </c>
      <c r="Z20">
        <v>56</v>
      </c>
      <c r="AA20">
        <v>5</v>
      </c>
      <c r="AB20">
        <v>60</v>
      </c>
      <c r="AC20">
        <v>148</v>
      </c>
      <c r="AD20">
        <v>545</v>
      </c>
    </row>
    <row r="21" spans="1:30" x14ac:dyDescent="0.3">
      <c r="A21">
        <v>16</v>
      </c>
      <c r="B21" t="s">
        <v>1989</v>
      </c>
      <c r="C21" t="s">
        <v>1981</v>
      </c>
      <c r="D21">
        <v>21</v>
      </c>
      <c r="E21" t="s">
        <v>1990</v>
      </c>
      <c r="F21">
        <v>33</v>
      </c>
      <c r="G21">
        <v>8</v>
      </c>
      <c r="H21">
        <v>358</v>
      </c>
      <c r="I21">
        <v>31</v>
      </c>
      <c r="J21">
        <v>89</v>
      </c>
      <c r="K21">
        <v>0.34799999999999998</v>
      </c>
      <c r="L21">
        <v>3</v>
      </c>
      <c r="M21">
        <v>11</v>
      </c>
      <c r="N21">
        <v>0.27300000000000002</v>
      </c>
      <c r="O21">
        <v>28</v>
      </c>
      <c r="P21">
        <v>78</v>
      </c>
      <c r="Q21">
        <v>0.35899999999999999</v>
      </c>
      <c r="R21">
        <v>0.36499999999999999</v>
      </c>
      <c r="S21">
        <v>9</v>
      </c>
      <c r="T21">
        <v>14</v>
      </c>
      <c r="U21">
        <v>0.64300000000000002</v>
      </c>
      <c r="V21">
        <v>5</v>
      </c>
      <c r="W21">
        <v>67</v>
      </c>
      <c r="X21">
        <v>72</v>
      </c>
      <c r="Y21">
        <v>28</v>
      </c>
      <c r="Z21">
        <v>15</v>
      </c>
      <c r="AA21">
        <v>7</v>
      </c>
      <c r="AB21">
        <v>10</v>
      </c>
      <c r="AC21">
        <v>28</v>
      </c>
      <c r="AD21">
        <v>74</v>
      </c>
    </row>
    <row r="22" spans="1:30" x14ac:dyDescent="0.3">
      <c r="A22">
        <v>17</v>
      </c>
      <c r="B22" t="s">
        <v>1991</v>
      </c>
      <c r="C22" t="s">
        <v>1956</v>
      </c>
      <c r="D22">
        <v>26</v>
      </c>
      <c r="E22" t="s">
        <v>1972</v>
      </c>
      <c r="F22">
        <v>61</v>
      </c>
      <c r="G22">
        <v>5</v>
      </c>
      <c r="H22">
        <v>1675</v>
      </c>
      <c r="I22">
        <v>291</v>
      </c>
      <c r="J22">
        <v>729</v>
      </c>
      <c r="K22">
        <v>0.39900000000000002</v>
      </c>
      <c r="L22">
        <v>122</v>
      </c>
      <c r="M22">
        <v>359</v>
      </c>
      <c r="N22">
        <v>0.34</v>
      </c>
      <c r="O22">
        <v>169</v>
      </c>
      <c r="P22">
        <v>370</v>
      </c>
      <c r="Q22">
        <v>0.45700000000000002</v>
      </c>
      <c r="R22">
        <v>0.48299999999999998</v>
      </c>
      <c r="S22">
        <v>129</v>
      </c>
      <c r="T22">
        <v>151</v>
      </c>
      <c r="U22">
        <v>0.85399999999999998</v>
      </c>
      <c r="V22">
        <v>108</v>
      </c>
      <c r="W22">
        <v>187</v>
      </c>
      <c r="X22">
        <v>295</v>
      </c>
      <c r="Y22">
        <v>55</v>
      </c>
      <c r="Z22">
        <v>33</v>
      </c>
      <c r="AA22">
        <v>20</v>
      </c>
      <c r="AB22">
        <v>62</v>
      </c>
      <c r="AC22">
        <v>113</v>
      </c>
      <c r="AD22">
        <v>833</v>
      </c>
    </row>
    <row r="23" spans="1:30" x14ac:dyDescent="0.3">
      <c r="A23">
        <v>18</v>
      </c>
      <c r="B23" t="s">
        <v>1992</v>
      </c>
      <c r="C23" t="s">
        <v>1961</v>
      </c>
      <c r="D23">
        <v>20</v>
      </c>
      <c r="E23" t="s">
        <v>1993</v>
      </c>
      <c r="F23">
        <v>81</v>
      </c>
      <c r="G23">
        <v>71</v>
      </c>
      <c r="H23">
        <v>2541</v>
      </c>
      <c r="I23">
        <v>383</v>
      </c>
      <c r="J23">
        <v>780</v>
      </c>
      <c r="K23">
        <v>0.49099999999999999</v>
      </c>
      <c r="L23">
        <v>7</v>
      </c>
      <c r="M23">
        <v>44</v>
      </c>
      <c r="N23">
        <v>0.159</v>
      </c>
      <c r="O23">
        <v>376</v>
      </c>
      <c r="P23">
        <v>736</v>
      </c>
      <c r="Q23">
        <v>0.51100000000000001</v>
      </c>
      <c r="R23">
        <v>0.496</v>
      </c>
      <c r="S23">
        <v>257</v>
      </c>
      <c r="T23">
        <v>347</v>
      </c>
      <c r="U23">
        <v>0.74099999999999999</v>
      </c>
      <c r="V23">
        <v>100</v>
      </c>
      <c r="W23">
        <v>442</v>
      </c>
      <c r="X23">
        <v>542</v>
      </c>
      <c r="Y23">
        <v>207</v>
      </c>
      <c r="Z23">
        <v>73</v>
      </c>
      <c r="AA23">
        <v>85</v>
      </c>
      <c r="AB23">
        <v>173</v>
      </c>
      <c r="AC23">
        <v>254</v>
      </c>
      <c r="AD23">
        <v>1030</v>
      </c>
    </row>
    <row r="24" spans="1:30" x14ac:dyDescent="0.3">
      <c r="A24">
        <v>19</v>
      </c>
      <c r="B24" t="s">
        <v>1994</v>
      </c>
      <c r="C24" t="s">
        <v>1981</v>
      </c>
      <c r="D24">
        <v>30</v>
      </c>
      <c r="E24" t="s">
        <v>1959</v>
      </c>
      <c r="F24">
        <v>40</v>
      </c>
      <c r="G24">
        <v>40</v>
      </c>
      <c r="H24">
        <v>1428</v>
      </c>
      <c r="I24">
        <v>358</v>
      </c>
      <c r="J24">
        <v>806</v>
      </c>
      <c r="K24">
        <v>0.44400000000000001</v>
      </c>
      <c r="L24">
        <v>61</v>
      </c>
      <c r="M24">
        <v>179</v>
      </c>
      <c r="N24">
        <v>0.34100000000000003</v>
      </c>
      <c r="O24">
        <v>297</v>
      </c>
      <c r="P24">
        <v>627</v>
      </c>
      <c r="Q24">
        <v>0.47399999999999998</v>
      </c>
      <c r="R24">
        <v>0.48199999999999998</v>
      </c>
      <c r="S24">
        <v>189</v>
      </c>
      <c r="T24">
        <v>237</v>
      </c>
      <c r="U24">
        <v>0.79700000000000004</v>
      </c>
      <c r="V24">
        <v>72</v>
      </c>
      <c r="W24">
        <v>192</v>
      </c>
      <c r="X24">
        <v>264</v>
      </c>
      <c r="Y24">
        <v>122</v>
      </c>
      <c r="Z24">
        <v>40</v>
      </c>
      <c r="AA24">
        <v>17</v>
      </c>
      <c r="AB24">
        <v>89</v>
      </c>
      <c r="AC24">
        <v>87</v>
      </c>
      <c r="AD24">
        <v>966</v>
      </c>
    </row>
    <row r="25" spans="1:30" x14ac:dyDescent="0.3">
      <c r="A25">
        <v>20</v>
      </c>
      <c r="B25" t="s">
        <v>1995</v>
      </c>
      <c r="C25" t="s">
        <v>213</v>
      </c>
      <c r="D25">
        <v>32</v>
      </c>
      <c r="E25" t="s">
        <v>1996</v>
      </c>
      <c r="F25">
        <v>49</v>
      </c>
      <c r="G25">
        <v>0</v>
      </c>
      <c r="H25">
        <v>406</v>
      </c>
      <c r="I25">
        <v>36</v>
      </c>
      <c r="J25">
        <v>62</v>
      </c>
      <c r="K25">
        <v>0.58099999999999996</v>
      </c>
      <c r="L25">
        <v>0</v>
      </c>
      <c r="M25">
        <v>0</v>
      </c>
      <c r="O25">
        <v>36</v>
      </c>
      <c r="P25">
        <v>62</v>
      </c>
      <c r="Q25">
        <v>0.58099999999999996</v>
      </c>
      <c r="R25">
        <v>0.58099999999999996</v>
      </c>
      <c r="S25">
        <v>15</v>
      </c>
      <c r="T25">
        <v>22</v>
      </c>
      <c r="U25">
        <v>0.68200000000000005</v>
      </c>
      <c r="V25">
        <v>32</v>
      </c>
      <c r="W25">
        <v>61</v>
      </c>
      <c r="X25">
        <v>93</v>
      </c>
      <c r="Y25">
        <v>5</v>
      </c>
      <c r="Z25">
        <v>12</v>
      </c>
      <c r="AA25">
        <v>49</v>
      </c>
      <c r="AB25">
        <v>12</v>
      </c>
      <c r="AC25">
        <v>55</v>
      </c>
      <c r="AD25">
        <v>87</v>
      </c>
    </row>
    <row r="26" spans="1:30" x14ac:dyDescent="0.3">
      <c r="A26" t="s">
        <v>1929</v>
      </c>
      <c r="B26" t="s">
        <v>1930</v>
      </c>
      <c r="C26" t="s">
        <v>1931</v>
      </c>
      <c r="D26" t="s">
        <v>198</v>
      </c>
      <c r="E26" t="s">
        <v>1932</v>
      </c>
      <c r="F26" t="s">
        <v>1933</v>
      </c>
      <c r="G26" t="s">
        <v>1934</v>
      </c>
      <c r="H26" t="s">
        <v>1935</v>
      </c>
      <c r="I26" t="s">
        <v>1936</v>
      </c>
      <c r="J26" t="s">
        <v>1937</v>
      </c>
      <c r="K26" t="s">
        <v>1938</v>
      </c>
      <c r="L26" t="s">
        <v>1939</v>
      </c>
      <c r="M26" t="s">
        <v>1940</v>
      </c>
      <c r="N26" t="s">
        <v>1941</v>
      </c>
      <c r="O26" t="s">
        <v>1942</v>
      </c>
      <c r="P26" t="s">
        <v>1943</v>
      </c>
      <c r="Q26" t="s">
        <v>1944</v>
      </c>
      <c r="R26" t="s">
        <v>1945</v>
      </c>
      <c r="S26" t="s">
        <v>1946</v>
      </c>
      <c r="T26" t="s">
        <v>1947</v>
      </c>
      <c r="U26" t="s">
        <v>1948</v>
      </c>
      <c r="V26" t="s">
        <v>1949</v>
      </c>
      <c r="W26" t="s">
        <v>1950</v>
      </c>
      <c r="X26" t="s">
        <v>1951</v>
      </c>
      <c r="Y26" t="s">
        <v>1952</v>
      </c>
      <c r="Z26" t="s">
        <v>1953</v>
      </c>
      <c r="AA26" t="s">
        <v>1954</v>
      </c>
      <c r="AB26" t="s">
        <v>1955</v>
      </c>
      <c r="AC26" t="s">
        <v>1956</v>
      </c>
      <c r="AD26" t="s">
        <v>1957</v>
      </c>
    </row>
    <row r="27" spans="1:30" x14ac:dyDescent="0.3">
      <c r="A27">
        <v>21</v>
      </c>
      <c r="B27" t="s">
        <v>1997</v>
      </c>
      <c r="C27" t="s">
        <v>213</v>
      </c>
      <c r="D27">
        <v>32</v>
      </c>
      <c r="E27" t="s">
        <v>1998</v>
      </c>
      <c r="F27">
        <v>63</v>
      </c>
      <c r="G27">
        <v>3</v>
      </c>
      <c r="H27">
        <v>1037</v>
      </c>
      <c r="I27">
        <v>108</v>
      </c>
      <c r="J27">
        <v>296</v>
      </c>
      <c r="K27">
        <v>0.36499999999999999</v>
      </c>
      <c r="L27">
        <v>52</v>
      </c>
      <c r="M27">
        <v>173</v>
      </c>
      <c r="N27">
        <v>0.30099999999999999</v>
      </c>
      <c r="O27">
        <v>56</v>
      </c>
      <c r="P27">
        <v>123</v>
      </c>
      <c r="Q27">
        <v>0.45500000000000002</v>
      </c>
      <c r="R27">
        <v>0.45300000000000001</v>
      </c>
      <c r="S27">
        <v>88</v>
      </c>
      <c r="T27">
        <v>123</v>
      </c>
      <c r="U27">
        <v>0.71499999999999997</v>
      </c>
      <c r="V27">
        <v>58</v>
      </c>
      <c r="W27">
        <v>131</v>
      </c>
      <c r="X27">
        <v>189</v>
      </c>
      <c r="Y27">
        <v>49</v>
      </c>
      <c r="Z27">
        <v>18</v>
      </c>
      <c r="AA27">
        <v>14</v>
      </c>
      <c r="AB27">
        <v>49</v>
      </c>
      <c r="AC27">
        <v>132</v>
      </c>
      <c r="AD27">
        <v>356</v>
      </c>
    </row>
    <row r="28" spans="1:30" x14ac:dyDescent="0.3">
      <c r="A28">
        <v>22</v>
      </c>
      <c r="B28" t="s">
        <v>1999</v>
      </c>
      <c r="C28" t="s">
        <v>1981</v>
      </c>
      <c r="D28">
        <v>29</v>
      </c>
      <c r="E28" t="s">
        <v>2000</v>
      </c>
      <c r="F28">
        <v>82</v>
      </c>
      <c r="G28">
        <v>82</v>
      </c>
      <c r="H28">
        <v>2930</v>
      </c>
      <c r="I28">
        <v>366</v>
      </c>
      <c r="J28">
        <v>910</v>
      </c>
      <c r="K28">
        <v>0.40200000000000002</v>
      </c>
      <c r="L28">
        <v>194</v>
      </c>
      <c r="M28">
        <v>555</v>
      </c>
      <c r="N28">
        <v>0.35</v>
      </c>
      <c r="O28">
        <v>172</v>
      </c>
      <c r="P28">
        <v>355</v>
      </c>
      <c r="Q28">
        <v>0.48499999999999999</v>
      </c>
      <c r="R28">
        <v>0.50900000000000001</v>
      </c>
      <c r="S28">
        <v>122</v>
      </c>
      <c r="T28">
        <v>143</v>
      </c>
      <c r="U28">
        <v>0.85299999999999998</v>
      </c>
      <c r="V28">
        <v>77</v>
      </c>
      <c r="W28">
        <v>382</v>
      </c>
      <c r="X28">
        <v>459</v>
      </c>
      <c r="Y28">
        <v>209</v>
      </c>
      <c r="Z28">
        <v>152</v>
      </c>
      <c r="AA28">
        <v>17</v>
      </c>
      <c r="AB28">
        <v>141</v>
      </c>
      <c r="AC28">
        <v>186</v>
      </c>
      <c r="AD28">
        <v>1048</v>
      </c>
    </row>
    <row r="29" spans="1:30" x14ac:dyDescent="0.3">
      <c r="A29">
        <v>23</v>
      </c>
      <c r="B29" t="s">
        <v>2001</v>
      </c>
      <c r="C29" t="s">
        <v>1956</v>
      </c>
      <c r="D29">
        <v>26</v>
      </c>
      <c r="E29" t="s">
        <v>1969</v>
      </c>
      <c r="F29">
        <v>58</v>
      </c>
      <c r="G29">
        <v>4</v>
      </c>
      <c r="H29">
        <v>988</v>
      </c>
      <c r="I29">
        <v>155</v>
      </c>
      <c r="J29">
        <v>384</v>
      </c>
      <c r="K29">
        <v>0.40400000000000003</v>
      </c>
      <c r="L29">
        <v>26</v>
      </c>
      <c r="M29">
        <v>110</v>
      </c>
      <c r="N29">
        <v>0.23599999999999999</v>
      </c>
      <c r="O29">
        <v>129</v>
      </c>
      <c r="P29">
        <v>274</v>
      </c>
      <c r="Q29">
        <v>0.47099999999999997</v>
      </c>
      <c r="R29">
        <v>0.438</v>
      </c>
      <c r="S29">
        <v>46</v>
      </c>
      <c r="T29">
        <v>59</v>
      </c>
      <c r="U29">
        <v>0.78</v>
      </c>
      <c r="V29">
        <v>53</v>
      </c>
      <c r="W29">
        <v>118</v>
      </c>
      <c r="X29">
        <v>171</v>
      </c>
      <c r="Y29">
        <v>57</v>
      </c>
      <c r="Z29">
        <v>48</v>
      </c>
      <c r="AA29">
        <v>26</v>
      </c>
      <c r="AB29">
        <v>47</v>
      </c>
      <c r="AC29">
        <v>146</v>
      </c>
      <c r="AD29">
        <v>382</v>
      </c>
    </row>
    <row r="30" spans="1:30" x14ac:dyDescent="0.3">
      <c r="A30">
        <v>24</v>
      </c>
      <c r="B30" t="s">
        <v>2002</v>
      </c>
      <c r="C30" t="s">
        <v>213</v>
      </c>
      <c r="D30">
        <v>28</v>
      </c>
      <c r="E30" t="s">
        <v>1972</v>
      </c>
      <c r="F30">
        <v>76</v>
      </c>
      <c r="G30">
        <v>76</v>
      </c>
      <c r="H30">
        <v>1982</v>
      </c>
      <c r="I30">
        <v>213</v>
      </c>
      <c r="J30">
        <v>412</v>
      </c>
      <c r="K30">
        <v>0.51700000000000002</v>
      </c>
      <c r="L30">
        <v>0</v>
      </c>
      <c r="M30">
        <v>0</v>
      </c>
      <c r="O30">
        <v>213</v>
      </c>
      <c r="P30">
        <v>412</v>
      </c>
      <c r="Q30">
        <v>0.51700000000000002</v>
      </c>
      <c r="R30">
        <v>0.51700000000000002</v>
      </c>
      <c r="S30">
        <v>131</v>
      </c>
      <c r="T30">
        <v>225</v>
      </c>
      <c r="U30">
        <v>0.58199999999999996</v>
      </c>
      <c r="V30">
        <v>244</v>
      </c>
      <c r="W30">
        <v>504</v>
      </c>
      <c r="X30">
        <v>748</v>
      </c>
      <c r="Y30">
        <v>72</v>
      </c>
      <c r="Z30">
        <v>29</v>
      </c>
      <c r="AA30">
        <v>54</v>
      </c>
      <c r="AB30">
        <v>95</v>
      </c>
      <c r="AC30">
        <v>144</v>
      </c>
      <c r="AD30">
        <v>557</v>
      </c>
    </row>
    <row r="31" spans="1:30" x14ac:dyDescent="0.3">
      <c r="A31">
        <v>25</v>
      </c>
      <c r="B31" t="s">
        <v>2003</v>
      </c>
      <c r="C31" t="s">
        <v>2004</v>
      </c>
      <c r="D31">
        <v>27</v>
      </c>
      <c r="E31" t="s">
        <v>1968</v>
      </c>
      <c r="F31">
        <v>82</v>
      </c>
      <c r="G31">
        <v>14</v>
      </c>
      <c r="H31">
        <v>1964</v>
      </c>
      <c r="I31">
        <v>258</v>
      </c>
      <c r="J31">
        <v>647</v>
      </c>
      <c r="K31">
        <v>0.39900000000000002</v>
      </c>
      <c r="L31">
        <v>83</v>
      </c>
      <c r="M31">
        <v>246</v>
      </c>
      <c r="N31">
        <v>0.33700000000000002</v>
      </c>
      <c r="O31">
        <v>175</v>
      </c>
      <c r="P31">
        <v>401</v>
      </c>
      <c r="Q31">
        <v>0.436</v>
      </c>
      <c r="R31">
        <v>0.46300000000000002</v>
      </c>
      <c r="S31">
        <v>178</v>
      </c>
      <c r="T31">
        <v>205</v>
      </c>
      <c r="U31">
        <v>0.86799999999999999</v>
      </c>
      <c r="V31">
        <v>20</v>
      </c>
      <c r="W31">
        <v>141</v>
      </c>
      <c r="X31">
        <v>161</v>
      </c>
      <c r="Y31">
        <v>353</v>
      </c>
      <c r="Z31">
        <v>49</v>
      </c>
      <c r="AA31">
        <v>3</v>
      </c>
      <c r="AB31">
        <v>145</v>
      </c>
      <c r="AC31">
        <v>93</v>
      </c>
      <c r="AD31">
        <v>777</v>
      </c>
    </row>
    <row r="32" spans="1:30" x14ac:dyDescent="0.3">
      <c r="A32">
        <v>25</v>
      </c>
      <c r="B32" t="s">
        <v>2003</v>
      </c>
      <c r="C32" t="s">
        <v>2004</v>
      </c>
      <c r="D32">
        <v>27</v>
      </c>
      <c r="E32" t="s">
        <v>1996</v>
      </c>
      <c r="F32">
        <v>54</v>
      </c>
      <c r="G32">
        <v>13</v>
      </c>
      <c r="H32">
        <v>1287</v>
      </c>
      <c r="I32">
        <v>189</v>
      </c>
      <c r="J32">
        <v>461</v>
      </c>
      <c r="K32">
        <v>0.41</v>
      </c>
      <c r="L32">
        <v>49</v>
      </c>
      <c r="M32">
        <v>150</v>
      </c>
      <c r="N32">
        <v>0.32700000000000001</v>
      </c>
      <c r="O32">
        <v>140</v>
      </c>
      <c r="P32">
        <v>311</v>
      </c>
      <c r="Q32">
        <v>0.45</v>
      </c>
      <c r="R32">
        <v>0.46300000000000002</v>
      </c>
      <c r="S32">
        <v>147</v>
      </c>
      <c r="T32">
        <v>169</v>
      </c>
      <c r="U32">
        <v>0.87</v>
      </c>
      <c r="V32">
        <v>13</v>
      </c>
      <c r="W32">
        <v>87</v>
      </c>
      <c r="X32">
        <v>100</v>
      </c>
      <c r="Y32">
        <v>265</v>
      </c>
      <c r="Z32">
        <v>33</v>
      </c>
      <c r="AA32">
        <v>2</v>
      </c>
      <c r="AB32">
        <v>110</v>
      </c>
      <c r="AC32">
        <v>61</v>
      </c>
      <c r="AD32">
        <v>574</v>
      </c>
    </row>
    <row r="33" spans="1:30" x14ac:dyDescent="0.3">
      <c r="A33">
        <v>25</v>
      </c>
      <c r="B33" t="s">
        <v>2003</v>
      </c>
      <c r="C33" t="s">
        <v>2004</v>
      </c>
      <c r="D33">
        <v>27</v>
      </c>
      <c r="E33" t="s">
        <v>1964</v>
      </c>
      <c r="F33">
        <v>28</v>
      </c>
      <c r="G33">
        <v>1</v>
      </c>
      <c r="H33">
        <v>677</v>
      </c>
      <c r="I33">
        <v>69</v>
      </c>
      <c r="J33">
        <v>186</v>
      </c>
      <c r="K33">
        <v>0.371</v>
      </c>
      <c r="L33">
        <v>34</v>
      </c>
      <c r="M33">
        <v>96</v>
      </c>
      <c r="N33">
        <v>0.35399999999999998</v>
      </c>
      <c r="O33">
        <v>35</v>
      </c>
      <c r="P33">
        <v>90</v>
      </c>
      <c r="Q33">
        <v>0.38900000000000001</v>
      </c>
      <c r="R33">
        <v>0.46200000000000002</v>
      </c>
      <c r="S33">
        <v>31</v>
      </c>
      <c r="T33">
        <v>36</v>
      </c>
      <c r="U33">
        <v>0.86099999999999999</v>
      </c>
      <c r="V33">
        <v>7</v>
      </c>
      <c r="W33">
        <v>54</v>
      </c>
      <c r="X33">
        <v>61</v>
      </c>
      <c r="Y33">
        <v>88</v>
      </c>
      <c r="Z33">
        <v>16</v>
      </c>
      <c r="AA33">
        <v>1</v>
      </c>
      <c r="AB33">
        <v>35</v>
      </c>
      <c r="AC33">
        <v>32</v>
      </c>
      <c r="AD33">
        <v>203</v>
      </c>
    </row>
    <row r="34" spans="1:30" x14ac:dyDescent="0.3">
      <c r="A34">
        <v>26</v>
      </c>
      <c r="B34" t="s">
        <v>2005</v>
      </c>
      <c r="C34" t="s">
        <v>1956</v>
      </c>
      <c r="D34">
        <v>27</v>
      </c>
      <c r="E34" t="s">
        <v>1990</v>
      </c>
      <c r="F34">
        <v>51</v>
      </c>
      <c r="G34">
        <v>0</v>
      </c>
      <c r="H34">
        <v>383</v>
      </c>
      <c r="I34">
        <v>55</v>
      </c>
      <c r="J34">
        <v>95</v>
      </c>
      <c r="K34">
        <v>0.57899999999999996</v>
      </c>
      <c r="L34">
        <v>0</v>
      </c>
      <c r="M34">
        <v>0</v>
      </c>
      <c r="O34">
        <v>55</v>
      </c>
      <c r="P34">
        <v>95</v>
      </c>
      <c r="Q34">
        <v>0.57899999999999996</v>
      </c>
      <c r="R34">
        <v>0.57899999999999996</v>
      </c>
      <c r="S34">
        <v>27</v>
      </c>
      <c r="T34">
        <v>36</v>
      </c>
      <c r="U34">
        <v>0.75</v>
      </c>
      <c r="V34">
        <v>37</v>
      </c>
      <c r="W34">
        <v>80</v>
      </c>
      <c r="X34">
        <v>117</v>
      </c>
      <c r="Y34">
        <v>14</v>
      </c>
      <c r="Z34">
        <v>8</v>
      </c>
      <c r="AA34">
        <v>8</v>
      </c>
      <c r="AB34">
        <v>26</v>
      </c>
      <c r="AC34">
        <v>60</v>
      </c>
      <c r="AD34">
        <v>137</v>
      </c>
    </row>
    <row r="35" spans="1:30" x14ac:dyDescent="0.3">
      <c r="A35">
        <v>27</v>
      </c>
      <c r="B35" t="s">
        <v>2006</v>
      </c>
      <c r="C35" t="s">
        <v>1981</v>
      </c>
      <c r="D35">
        <v>25</v>
      </c>
      <c r="E35" t="s">
        <v>1972</v>
      </c>
      <c r="F35">
        <v>63</v>
      </c>
      <c r="G35">
        <v>19</v>
      </c>
      <c r="H35">
        <v>830</v>
      </c>
      <c r="I35">
        <v>92</v>
      </c>
      <c r="J35">
        <v>192</v>
      </c>
      <c r="K35">
        <v>0.47899999999999998</v>
      </c>
      <c r="L35">
        <v>59</v>
      </c>
      <c r="M35">
        <v>115</v>
      </c>
      <c r="N35">
        <v>0.51300000000000001</v>
      </c>
      <c r="O35">
        <v>33</v>
      </c>
      <c r="P35">
        <v>77</v>
      </c>
      <c r="Q35">
        <v>0.42899999999999999</v>
      </c>
      <c r="R35">
        <v>0.63300000000000001</v>
      </c>
      <c r="S35">
        <v>13</v>
      </c>
      <c r="T35">
        <v>19</v>
      </c>
      <c r="U35">
        <v>0.68400000000000005</v>
      </c>
      <c r="V35">
        <v>12</v>
      </c>
      <c r="W35">
        <v>99</v>
      </c>
      <c r="X35">
        <v>111</v>
      </c>
      <c r="Y35">
        <v>24</v>
      </c>
      <c r="Z35">
        <v>17</v>
      </c>
      <c r="AA35">
        <v>11</v>
      </c>
      <c r="AB35">
        <v>26</v>
      </c>
      <c r="AC35">
        <v>63</v>
      </c>
      <c r="AD35">
        <v>256</v>
      </c>
    </row>
    <row r="36" spans="1:30" x14ac:dyDescent="0.3">
      <c r="A36">
        <v>28</v>
      </c>
      <c r="B36" t="s">
        <v>2007</v>
      </c>
      <c r="C36" t="s">
        <v>1956</v>
      </c>
      <c r="D36">
        <v>24</v>
      </c>
      <c r="E36" t="s">
        <v>2008</v>
      </c>
      <c r="F36">
        <v>18</v>
      </c>
      <c r="G36">
        <v>1</v>
      </c>
      <c r="H36">
        <v>64</v>
      </c>
      <c r="I36">
        <v>3</v>
      </c>
      <c r="J36">
        <v>14</v>
      </c>
      <c r="K36">
        <v>0.214</v>
      </c>
      <c r="L36">
        <v>0</v>
      </c>
      <c r="M36">
        <v>0</v>
      </c>
      <c r="O36">
        <v>3</v>
      </c>
      <c r="P36">
        <v>14</v>
      </c>
      <c r="Q36">
        <v>0.214</v>
      </c>
      <c r="R36">
        <v>0.214</v>
      </c>
      <c r="S36">
        <v>4</v>
      </c>
      <c r="T36">
        <v>5</v>
      </c>
      <c r="U36">
        <v>0.8</v>
      </c>
      <c r="V36">
        <v>6</v>
      </c>
      <c r="W36">
        <v>2</v>
      </c>
      <c r="X36">
        <v>8</v>
      </c>
      <c r="Y36">
        <v>1</v>
      </c>
      <c r="Z36">
        <v>2</v>
      </c>
      <c r="AA36">
        <v>1</v>
      </c>
      <c r="AB36">
        <v>3</v>
      </c>
      <c r="AC36">
        <v>8</v>
      </c>
      <c r="AD36">
        <v>10</v>
      </c>
    </row>
    <row r="37" spans="1:30" x14ac:dyDescent="0.3">
      <c r="A37">
        <v>29</v>
      </c>
      <c r="B37" t="s">
        <v>2009</v>
      </c>
      <c r="C37" t="s">
        <v>1961</v>
      </c>
      <c r="D37">
        <v>32</v>
      </c>
      <c r="E37" t="s">
        <v>2010</v>
      </c>
      <c r="F37">
        <v>66</v>
      </c>
      <c r="G37">
        <v>1</v>
      </c>
      <c r="H37">
        <v>982</v>
      </c>
      <c r="I37">
        <v>183</v>
      </c>
      <c r="J37">
        <v>386</v>
      </c>
      <c r="K37">
        <v>0.47399999999999998</v>
      </c>
      <c r="L37">
        <v>43</v>
      </c>
      <c r="M37">
        <v>112</v>
      </c>
      <c r="N37">
        <v>0.38400000000000001</v>
      </c>
      <c r="O37">
        <v>140</v>
      </c>
      <c r="P37">
        <v>274</v>
      </c>
      <c r="Q37">
        <v>0.51100000000000001</v>
      </c>
      <c r="R37">
        <v>0.53</v>
      </c>
      <c r="S37">
        <v>58</v>
      </c>
      <c r="T37">
        <v>74</v>
      </c>
      <c r="U37">
        <v>0.78400000000000003</v>
      </c>
      <c r="V37">
        <v>23</v>
      </c>
      <c r="W37">
        <v>68</v>
      </c>
      <c r="X37">
        <v>91</v>
      </c>
      <c r="Y37">
        <v>99</v>
      </c>
      <c r="Z37">
        <v>41</v>
      </c>
      <c r="AA37">
        <v>8</v>
      </c>
      <c r="AB37">
        <v>44</v>
      </c>
      <c r="AC37">
        <v>87</v>
      </c>
      <c r="AD37">
        <v>467</v>
      </c>
    </row>
    <row r="38" spans="1:30" x14ac:dyDescent="0.3">
      <c r="A38">
        <v>30</v>
      </c>
      <c r="B38" t="s">
        <v>2011</v>
      </c>
      <c r="C38" t="s">
        <v>2004</v>
      </c>
      <c r="D38">
        <v>30</v>
      </c>
      <c r="E38" t="s">
        <v>1982</v>
      </c>
      <c r="F38">
        <v>77</v>
      </c>
      <c r="G38">
        <v>10</v>
      </c>
      <c r="H38">
        <v>1362</v>
      </c>
      <c r="I38">
        <v>225</v>
      </c>
      <c r="J38">
        <v>536</v>
      </c>
      <c r="K38">
        <v>0.42</v>
      </c>
      <c r="L38">
        <v>54</v>
      </c>
      <c r="M38">
        <v>167</v>
      </c>
      <c r="N38">
        <v>0.32300000000000001</v>
      </c>
      <c r="O38">
        <v>171</v>
      </c>
      <c r="P38">
        <v>369</v>
      </c>
      <c r="Q38">
        <v>0.46300000000000002</v>
      </c>
      <c r="R38">
        <v>0.47</v>
      </c>
      <c r="S38">
        <v>76</v>
      </c>
      <c r="T38">
        <v>94</v>
      </c>
      <c r="U38">
        <v>0.80900000000000005</v>
      </c>
      <c r="V38">
        <v>23</v>
      </c>
      <c r="W38">
        <v>111</v>
      </c>
      <c r="X38">
        <v>134</v>
      </c>
      <c r="Y38">
        <v>263</v>
      </c>
      <c r="Z38">
        <v>33</v>
      </c>
      <c r="AA38">
        <v>1</v>
      </c>
      <c r="AB38">
        <v>70</v>
      </c>
      <c r="AC38">
        <v>104</v>
      </c>
      <c r="AD38">
        <v>580</v>
      </c>
    </row>
    <row r="39" spans="1:30" x14ac:dyDescent="0.3">
      <c r="A39">
        <v>31</v>
      </c>
      <c r="B39" t="s">
        <v>2012</v>
      </c>
      <c r="C39" t="s">
        <v>213</v>
      </c>
      <c r="D39">
        <v>29</v>
      </c>
      <c r="E39" t="s">
        <v>1959</v>
      </c>
      <c r="F39">
        <v>29</v>
      </c>
      <c r="G39">
        <v>22</v>
      </c>
      <c r="H39">
        <v>785</v>
      </c>
      <c r="I39">
        <v>164</v>
      </c>
      <c r="J39">
        <v>361</v>
      </c>
      <c r="K39">
        <v>0.45400000000000001</v>
      </c>
      <c r="L39">
        <v>15</v>
      </c>
      <c r="M39">
        <v>41</v>
      </c>
      <c r="N39">
        <v>0.36599999999999999</v>
      </c>
      <c r="O39">
        <v>149</v>
      </c>
      <c r="P39">
        <v>320</v>
      </c>
      <c r="Q39">
        <v>0.46600000000000003</v>
      </c>
      <c r="R39">
        <v>0.47499999999999998</v>
      </c>
      <c r="S39">
        <v>87</v>
      </c>
      <c r="T39">
        <v>107</v>
      </c>
      <c r="U39">
        <v>0.81299999999999994</v>
      </c>
      <c r="V39">
        <v>32</v>
      </c>
      <c r="W39">
        <v>95</v>
      </c>
      <c r="X39">
        <v>127</v>
      </c>
      <c r="Y39">
        <v>46</v>
      </c>
      <c r="Z39">
        <v>2</v>
      </c>
      <c r="AA39">
        <v>27</v>
      </c>
      <c r="AB39">
        <v>42</v>
      </c>
      <c r="AC39">
        <v>53</v>
      </c>
      <c r="AD39">
        <v>430</v>
      </c>
    </row>
    <row r="40" spans="1:30" x14ac:dyDescent="0.3">
      <c r="A40">
        <v>32</v>
      </c>
      <c r="B40" t="s">
        <v>2013</v>
      </c>
      <c r="C40" t="s">
        <v>1981</v>
      </c>
      <c r="D40">
        <v>22</v>
      </c>
      <c r="E40" t="s">
        <v>2010</v>
      </c>
      <c r="F40">
        <v>82</v>
      </c>
      <c r="G40">
        <v>82</v>
      </c>
      <c r="H40">
        <v>2318</v>
      </c>
      <c r="I40">
        <v>316</v>
      </c>
      <c r="J40">
        <v>656</v>
      </c>
      <c r="K40">
        <v>0.48199999999999998</v>
      </c>
      <c r="L40">
        <v>87</v>
      </c>
      <c r="M40">
        <v>215</v>
      </c>
      <c r="N40">
        <v>0.40500000000000003</v>
      </c>
      <c r="O40">
        <v>229</v>
      </c>
      <c r="P40">
        <v>441</v>
      </c>
      <c r="Q40">
        <v>0.51900000000000002</v>
      </c>
      <c r="R40">
        <v>0.54800000000000004</v>
      </c>
      <c r="S40">
        <v>108</v>
      </c>
      <c r="T40">
        <v>150</v>
      </c>
      <c r="U40">
        <v>0.72</v>
      </c>
      <c r="V40">
        <v>117</v>
      </c>
      <c r="W40">
        <v>336</v>
      </c>
      <c r="X40">
        <v>453</v>
      </c>
      <c r="Y40">
        <v>116</v>
      </c>
      <c r="Z40">
        <v>61</v>
      </c>
      <c r="AA40">
        <v>19</v>
      </c>
      <c r="AB40">
        <v>71</v>
      </c>
      <c r="AC40">
        <v>146</v>
      </c>
      <c r="AD40">
        <v>827</v>
      </c>
    </row>
    <row r="41" spans="1:30" x14ac:dyDescent="0.3">
      <c r="A41">
        <v>33</v>
      </c>
      <c r="B41" t="s">
        <v>2014</v>
      </c>
      <c r="C41" t="s">
        <v>1981</v>
      </c>
      <c r="D41">
        <v>34</v>
      </c>
      <c r="E41" t="s">
        <v>2015</v>
      </c>
      <c r="F41">
        <v>76</v>
      </c>
      <c r="G41">
        <v>74</v>
      </c>
      <c r="H41">
        <v>2271</v>
      </c>
      <c r="I41">
        <v>277</v>
      </c>
      <c r="J41">
        <v>624</v>
      </c>
      <c r="K41">
        <v>0.44400000000000001</v>
      </c>
      <c r="L41">
        <v>136</v>
      </c>
      <c r="M41">
        <v>376</v>
      </c>
      <c r="N41">
        <v>0.36199999999999999</v>
      </c>
      <c r="O41">
        <v>141</v>
      </c>
      <c r="P41">
        <v>248</v>
      </c>
      <c r="Q41">
        <v>0.56899999999999995</v>
      </c>
      <c r="R41">
        <v>0.55300000000000005</v>
      </c>
      <c r="S41">
        <v>74</v>
      </c>
      <c r="T41">
        <v>95</v>
      </c>
      <c r="U41">
        <v>0.77900000000000003</v>
      </c>
      <c r="V41">
        <v>51</v>
      </c>
      <c r="W41">
        <v>251</v>
      </c>
      <c r="X41">
        <v>302</v>
      </c>
      <c r="Y41">
        <v>114</v>
      </c>
      <c r="Z41">
        <v>67</v>
      </c>
      <c r="AA41">
        <v>50</v>
      </c>
      <c r="AB41">
        <v>87</v>
      </c>
      <c r="AC41">
        <v>240</v>
      </c>
      <c r="AD41">
        <v>764</v>
      </c>
    </row>
    <row r="42" spans="1:30" x14ac:dyDescent="0.3">
      <c r="A42">
        <v>34</v>
      </c>
      <c r="B42" t="s">
        <v>2016</v>
      </c>
      <c r="C42" t="s">
        <v>213</v>
      </c>
      <c r="D42">
        <v>33</v>
      </c>
      <c r="E42" t="s">
        <v>2017</v>
      </c>
      <c r="F42">
        <v>16</v>
      </c>
      <c r="G42">
        <v>1</v>
      </c>
      <c r="H42">
        <v>143</v>
      </c>
      <c r="I42">
        <v>12</v>
      </c>
      <c r="J42">
        <v>39</v>
      </c>
      <c r="K42">
        <v>0.308</v>
      </c>
      <c r="L42">
        <v>2</v>
      </c>
      <c r="M42">
        <v>4</v>
      </c>
      <c r="N42">
        <v>0.5</v>
      </c>
      <c r="O42">
        <v>10</v>
      </c>
      <c r="P42">
        <v>35</v>
      </c>
      <c r="Q42">
        <v>0.28599999999999998</v>
      </c>
      <c r="R42">
        <v>0.33300000000000002</v>
      </c>
      <c r="S42">
        <v>6</v>
      </c>
      <c r="T42">
        <v>12</v>
      </c>
      <c r="U42">
        <v>0.5</v>
      </c>
      <c r="V42">
        <v>14</v>
      </c>
      <c r="W42">
        <v>14</v>
      </c>
      <c r="X42">
        <v>28</v>
      </c>
      <c r="Y42">
        <v>5</v>
      </c>
      <c r="Z42">
        <v>4</v>
      </c>
      <c r="AA42">
        <v>2</v>
      </c>
      <c r="AB42">
        <v>5</v>
      </c>
      <c r="AC42">
        <v>26</v>
      </c>
      <c r="AD42">
        <v>32</v>
      </c>
    </row>
    <row r="43" spans="1:30" x14ac:dyDescent="0.3">
      <c r="A43">
        <v>35</v>
      </c>
      <c r="B43" t="s">
        <v>2018</v>
      </c>
      <c r="C43" t="s">
        <v>1961</v>
      </c>
      <c r="D43">
        <v>24</v>
      </c>
      <c r="E43" t="s">
        <v>1968</v>
      </c>
      <c r="F43">
        <v>58</v>
      </c>
      <c r="G43">
        <v>0</v>
      </c>
      <c r="H43">
        <v>983</v>
      </c>
      <c r="I43">
        <v>150</v>
      </c>
      <c r="J43">
        <v>353</v>
      </c>
      <c r="K43">
        <v>0.42499999999999999</v>
      </c>
      <c r="L43">
        <v>23</v>
      </c>
      <c r="M43">
        <v>85</v>
      </c>
      <c r="N43">
        <v>0.27100000000000002</v>
      </c>
      <c r="O43">
        <v>127</v>
      </c>
      <c r="P43">
        <v>268</v>
      </c>
      <c r="Q43">
        <v>0.47399999999999998</v>
      </c>
      <c r="R43">
        <v>0.45800000000000002</v>
      </c>
      <c r="S43">
        <v>74</v>
      </c>
      <c r="T43">
        <v>94</v>
      </c>
      <c r="U43">
        <v>0.78700000000000003</v>
      </c>
      <c r="V43">
        <v>26</v>
      </c>
      <c r="W43">
        <v>136</v>
      </c>
      <c r="X43">
        <v>162</v>
      </c>
      <c r="Y43">
        <v>81</v>
      </c>
      <c r="Z43">
        <v>48</v>
      </c>
      <c r="AA43">
        <v>19</v>
      </c>
      <c r="AB43">
        <v>61</v>
      </c>
      <c r="AC43">
        <v>70</v>
      </c>
      <c r="AD43">
        <v>397</v>
      </c>
    </row>
    <row r="44" spans="1:30" x14ac:dyDescent="0.3">
      <c r="A44">
        <v>35</v>
      </c>
      <c r="B44" t="s">
        <v>2018</v>
      </c>
      <c r="C44" t="s">
        <v>1961</v>
      </c>
      <c r="D44">
        <v>24</v>
      </c>
      <c r="E44" t="s">
        <v>1970</v>
      </c>
      <c r="F44">
        <v>30</v>
      </c>
      <c r="G44">
        <v>0</v>
      </c>
      <c r="H44">
        <v>300</v>
      </c>
      <c r="I44">
        <v>38</v>
      </c>
      <c r="J44">
        <v>100</v>
      </c>
      <c r="K44">
        <v>0.38</v>
      </c>
      <c r="L44">
        <v>4</v>
      </c>
      <c r="M44">
        <v>18</v>
      </c>
      <c r="N44">
        <v>0.222</v>
      </c>
      <c r="O44">
        <v>34</v>
      </c>
      <c r="P44">
        <v>82</v>
      </c>
      <c r="Q44">
        <v>0.41499999999999998</v>
      </c>
      <c r="R44">
        <v>0.4</v>
      </c>
      <c r="S44">
        <v>10</v>
      </c>
      <c r="T44">
        <v>15</v>
      </c>
      <c r="U44">
        <v>0.66700000000000004</v>
      </c>
      <c r="V44">
        <v>3</v>
      </c>
      <c r="W44">
        <v>31</v>
      </c>
      <c r="X44">
        <v>34</v>
      </c>
      <c r="Y44">
        <v>27</v>
      </c>
      <c r="Z44">
        <v>14</v>
      </c>
      <c r="AA44">
        <v>4</v>
      </c>
      <c r="AB44">
        <v>17</v>
      </c>
      <c r="AC44">
        <v>20</v>
      </c>
      <c r="AD44">
        <v>90</v>
      </c>
    </row>
    <row r="45" spans="1:30" x14ac:dyDescent="0.3">
      <c r="A45">
        <v>35</v>
      </c>
      <c r="B45" t="s">
        <v>2018</v>
      </c>
      <c r="C45" t="s">
        <v>1961</v>
      </c>
      <c r="D45">
        <v>24</v>
      </c>
      <c r="E45" t="s">
        <v>1969</v>
      </c>
      <c r="F45">
        <v>28</v>
      </c>
      <c r="G45">
        <v>0</v>
      </c>
      <c r="H45">
        <v>683</v>
      </c>
      <c r="I45">
        <v>112</v>
      </c>
      <c r="J45">
        <v>253</v>
      </c>
      <c r="K45">
        <v>0.443</v>
      </c>
      <c r="L45">
        <v>19</v>
      </c>
      <c r="M45">
        <v>67</v>
      </c>
      <c r="N45">
        <v>0.28399999999999997</v>
      </c>
      <c r="O45">
        <v>93</v>
      </c>
      <c r="P45">
        <v>186</v>
      </c>
      <c r="Q45">
        <v>0.5</v>
      </c>
      <c r="R45">
        <v>0.48</v>
      </c>
      <c r="S45">
        <v>64</v>
      </c>
      <c r="T45">
        <v>79</v>
      </c>
      <c r="U45">
        <v>0.81</v>
      </c>
      <c r="V45">
        <v>23</v>
      </c>
      <c r="W45">
        <v>105</v>
      </c>
      <c r="X45">
        <v>128</v>
      </c>
      <c r="Y45">
        <v>54</v>
      </c>
      <c r="Z45">
        <v>34</v>
      </c>
      <c r="AA45">
        <v>15</v>
      </c>
      <c r="AB45">
        <v>44</v>
      </c>
      <c r="AC45">
        <v>50</v>
      </c>
      <c r="AD45">
        <v>307</v>
      </c>
    </row>
    <row r="46" spans="1:30" x14ac:dyDescent="0.3">
      <c r="A46">
        <v>36</v>
      </c>
      <c r="B46" t="s">
        <v>2019</v>
      </c>
      <c r="C46" t="s">
        <v>1956</v>
      </c>
      <c r="D46">
        <v>29</v>
      </c>
      <c r="E46" t="s">
        <v>2020</v>
      </c>
      <c r="F46">
        <v>82</v>
      </c>
      <c r="G46">
        <v>43</v>
      </c>
      <c r="H46">
        <v>1929</v>
      </c>
      <c r="I46">
        <v>344</v>
      </c>
      <c r="J46">
        <v>683</v>
      </c>
      <c r="K46">
        <v>0.504</v>
      </c>
      <c r="L46">
        <v>9</v>
      </c>
      <c r="M46">
        <v>32</v>
      </c>
      <c r="N46">
        <v>0.28100000000000003</v>
      </c>
      <c r="O46">
        <v>335</v>
      </c>
      <c r="P46">
        <v>651</v>
      </c>
      <c r="Q46">
        <v>0.51500000000000001</v>
      </c>
      <c r="R46">
        <v>0.51</v>
      </c>
      <c r="S46">
        <v>169</v>
      </c>
      <c r="T46">
        <v>214</v>
      </c>
      <c r="U46">
        <v>0.79</v>
      </c>
      <c r="V46">
        <v>139</v>
      </c>
      <c r="W46">
        <v>259</v>
      </c>
      <c r="X46">
        <v>398</v>
      </c>
      <c r="Y46">
        <v>104</v>
      </c>
      <c r="Z46">
        <v>41</v>
      </c>
      <c r="AA46">
        <v>32</v>
      </c>
      <c r="AB46">
        <v>83</v>
      </c>
      <c r="AC46">
        <v>140</v>
      </c>
      <c r="AD46">
        <v>866</v>
      </c>
    </row>
    <row r="47" spans="1:30" x14ac:dyDescent="0.3">
      <c r="A47">
        <v>37</v>
      </c>
      <c r="B47" t="s">
        <v>2021</v>
      </c>
      <c r="C47" t="s">
        <v>1981</v>
      </c>
      <c r="D47">
        <v>26</v>
      </c>
      <c r="E47" t="s">
        <v>1970</v>
      </c>
      <c r="F47">
        <v>71</v>
      </c>
      <c r="G47">
        <v>71</v>
      </c>
      <c r="H47">
        <v>2380</v>
      </c>
      <c r="I47">
        <v>240</v>
      </c>
      <c r="J47">
        <v>600</v>
      </c>
      <c r="K47">
        <v>0.4</v>
      </c>
      <c r="L47">
        <v>100</v>
      </c>
      <c r="M47">
        <v>309</v>
      </c>
      <c r="N47">
        <v>0.32400000000000001</v>
      </c>
      <c r="O47">
        <v>140</v>
      </c>
      <c r="P47">
        <v>291</v>
      </c>
      <c r="Q47">
        <v>0.48099999999999998</v>
      </c>
      <c r="R47">
        <v>0.48299999999999998</v>
      </c>
      <c r="S47">
        <v>84</v>
      </c>
      <c r="T47">
        <v>98</v>
      </c>
      <c r="U47">
        <v>0.85699999999999998</v>
      </c>
      <c r="V47">
        <v>62</v>
      </c>
      <c r="W47">
        <v>354</v>
      </c>
      <c r="X47">
        <v>416</v>
      </c>
      <c r="Y47">
        <v>341</v>
      </c>
      <c r="Z47">
        <v>78</v>
      </c>
      <c r="AA47">
        <v>40</v>
      </c>
      <c r="AB47">
        <v>132</v>
      </c>
      <c r="AC47">
        <v>106</v>
      </c>
      <c r="AD47">
        <v>664</v>
      </c>
    </row>
    <row r="48" spans="1:30" x14ac:dyDescent="0.3">
      <c r="A48">
        <v>38</v>
      </c>
      <c r="B48" t="s">
        <v>2022</v>
      </c>
      <c r="C48" t="s">
        <v>2004</v>
      </c>
      <c r="D48">
        <v>26</v>
      </c>
      <c r="E48" t="s">
        <v>1993</v>
      </c>
      <c r="F48">
        <v>77</v>
      </c>
      <c r="G48">
        <v>4</v>
      </c>
      <c r="H48">
        <v>1717</v>
      </c>
      <c r="I48">
        <v>220</v>
      </c>
      <c r="J48">
        <v>516</v>
      </c>
      <c r="K48">
        <v>0.42599999999999999</v>
      </c>
      <c r="L48">
        <v>37</v>
      </c>
      <c r="M48">
        <v>120</v>
      </c>
      <c r="N48">
        <v>0.308</v>
      </c>
      <c r="O48">
        <v>183</v>
      </c>
      <c r="P48">
        <v>396</v>
      </c>
      <c r="Q48">
        <v>0.46200000000000002</v>
      </c>
      <c r="R48">
        <v>0.46200000000000002</v>
      </c>
      <c r="S48">
        <v>121</v>
      </c>
      <c r="T48">
        <v>137</v>
      </c>
      <c r="U48">
        <v>0.88300000000000001</v>
      </c>
      <c r="V48">
        <v>22</v>
      </c>
      <c r="W48">
        <v>189</v>
      </c>
      <c r="X48">
        <v>211</v>
      </c>
      <c r="Y48">
        <v>233</v>
      </c>
      <c r="Z48">
        <v>59</v>
      </c>
      <c r="AA48">
        <v>12</v>
      </c>
      <c r="AB48">
        <v>133</v>
      </c>
      <c r="AC48">
        <v>163</v>
      </c>
      <c r="AD48">
        <v>598</v>
      </c>
    </row>
    <row r="49" spans="1:30" x14ac:dyDescent="0.3">
      <c r="A49">
        <v>39</v>
      </c>
      <c r="B49" t="s">
        <v>2023</v>
      </c>
      <c r="C49" t="s">
        <v>213</v>
      </c>
      <c r="D49">
        <v>28</v>
      </c>
      <c r="E49" t="s">
        <v>1990</v>
      </c>
      <c r="F49">
        <v>70</v>
      </c>
      <c r="G49">
        <v>17</v>
      </c>
      <c r="H49">
        <v>1122</v>
      </c>
      <c r="I49">
        <v>185</v>
      </c>
      <c r="J49">
        <v>327</v>
      </c>
      <c r="K49">
        <v>0.56599999999999995</v>
      </c>
      <c r="L49">
        <v>1</v>
      </c>
      <c r="M49">
        <v>4</v>
      </c>
      <c r="N49">
        <v>0.25</v>
      </c>
      <c r="O49">
        <v>184</v>
      </c>
      <c r="P49">
        <v>323</v>
      </c>
      <c r="Q49">
        <v>0.56999999999999995</v>
      </c>
      <c r="R49">
        <v>0.56699999999999995</v>
      </c>
      <c r="S49">
        <v>90</v>
      </c>
      <c r="T49">
        <v>104</v>
      </c>
      <c r="U49">
        <v>0.86499999999999999</v>
      </c>
      <c r="V49">
        <v>109</v>
      </c>
      <c r="W49">
        <v>209</v>
      </c>
      <c r="X49">
        <v>318</v>
      </c>
      <c r="Y49">
        <v>35</v>
      </c>
      <c r="Z49">
        <v>16</v>
      </c>
      <c r="AA49">
        <v>22</v>
      </c>
      <c r="AB49">
        <v>65</v>
      </c>
      <c r="AC49">
        <v>162</v>
      </c>
      <c r="AD49">
        <v>461</v>
      </c>
    </row>
    <row r="50" spans="1:30" x14ac:dyDescent="0.3">
      <c r="A50">
        <v>40</v>
      </c>
      <c r="B50" t="s">
        <v>2024</v>
      </c>
      <c r="C50" t="s">
        <v>1961</v>
      </c>
      <c r="D50">
        <v>25</v>
      </c>
      <c r="E50" t="s">
        <v>1998</v>
      </c>
      <c r="F50">
        <v>75</v>
      </c>
      <c r="G50">
        <v>10</v>
      </c>
      <c r="H50">
        <v>1324</v>
      </c>
      <c r="I50">
        <v>141</v>
      </c>
      <c r="J50">
        <v>331</v>
      </c>
      <c r="K50">
        <v>0.42599999999999999</v>
      </c>
      <c r="L50">
        <v>48</v>
      </c>
      <c r="M50">
        <v>132</v>
      </c>
      <c r="N50">
        <v>0.36399999999999999</v>
      </c>
      <c r="O50">
        <v>93</v>
      </c>
      <c r="P50">
        <v>199</v>
      </c>
      <c r="Q50">
        <v>0.46700000000000003</v>
      </c>
      <c r="R50">
        <v>0.498</v>
      </c>
      <c r="S50">
        <v>60</v>
      </c>
      <c r="T50">
        <v>100</v>
      </c>
      <c r="U50">
        <v>0.6</v>
      </c>
      <c r="V50">
        <v>21</v>
      </c>
      <c r="W50">
        <v>201</v>
      </c>
      <c r="X50">
        <v>222</v>
      </c>
      <c r="Y50">
        <v>78</v>
      </c>
      <c r="Z50">
        <v>52</v>
      </c>
      <c r="AA50">
        <v>33</v>
      </c>
      <c r="AB50">
        <v>73</v>
      </c>
      <c r="AC50">
        <v>127</v>
      </c>
      <c r="AD50">
        <v>390</v>
      </c>
    </row>
    <row r="51" spans="1:30" x14ac:dyDescent="0.3">
      <c r="A51" t="s">
        <v>1929</v>
      </c>
      <c r="B51" t="s">
        <v>1930</v>
      </c>
      <c r="C51" t="s">
        <v>1931</v>
      </c>
      <c r="D51" t="s">
        <v>198</v>
      </c>
      <c r="E51" t="s">
        <v>1932</v>
      </c>
      <c r="F51" t="s">
        <v>1933</v>
      </c>
      <c r="G51" t="s">
        <v>1934</v>
      </c>
      <c r="H51" t="s">
        <v>1935</v>
      </c>
      <c r="I51" t="s">
        <v>1936</v>
      </c>
      <c r="J51" t="s">
        <v>1937</v>
      </c>
      <c r="K51" t="s">
        <v>1938</v>
      </c>
      <c r="L51" t="s">
        <v>1939</v>
      </c>
      <c r="M51" t="s">
        <v>1940</v>
      </c>
      <c r="N51" t="s">
        <v>1941</v>
      </c>
      <c r="O51" t="s">
        <v>1942</v>
      </c>
      <c r="P51" t="s">
        <v>1943</v>
      </c>
      <c r="Q51" t="s">
        <v>1944</v>
      </c>
      <c r="R51" t="s">
        <v>1945</v>
      </c>
      <c r="S51" t="s">
        <v>1946</v>
      </c>
      <c r="T51" t="s">
        <v>1947</v>
      </c>
      <c r="U51" t="s">
        <v>1948</v>
      </c>
      <c r="V51" t="s">
        <v>1949</v>
      </c>
      <c r="W51" t="s">
        <v>1950</v>
      </c>
      <c r="X51" t="s">
        <v>1951</v>
      </c>
      <c r="Y51" t="s">
        <v>1952</v>
      </c>
      <c r="Z51" t="s">
        <v>1953</v>
      </c>
      <c r="AA51" t="s">
        <v>1954</v>
      </c>
      <c r="AB51" t="s">
        <v>1955</v>
      </c>
      <c r="AC51" t="s">
        <v>1956</v>
      </c>
      <c r="AD51" t="s">
        <v>1957</v>
      </c>
    </row>
    <row r="52" spans="1:30" x14ac:dyDescent="0.3">
      <c r="A52">
        <v>41</v>
      </c>
      <c r="B52" t="s">
        <v>2025</v>
      </c>
      <c r="C52" t="s">
        <v>1961</v>
      </c>
      <c r="D52">
        <v>21</v>
      </c>
      <c r="E52" t="s">
        <v>2026</v>
      </c>
      <c r="F52">
        <v>63</v>
      </c>
      <c r="G52">
        <v>59</v>
      </c>
      <c r="H52">
        <v>2107</v>
      </c>
      <c r="I52">
        <v>363</v>
      </c>
      <c r="J52">
        <v>851</v>
      </c>
      <c r="K52">
        <v>0.42699999999999999</v>
      </c>
      <c r="L52">
        <v>106</v>
      </c>
      <c r="M52">
        <v>259</v>
      </c>
      <c r="N52">
        <v>0.40899999999999997</v>
      </c>
      <c r="O52">
        <v>257</v>
      </c>
      <c r="P52">
        <v>592</v>
      </c>
      <c r="Q52">
        <v>0.434</v>
      </c>
      <c r="R52">
        <v>0.48899999999999999</v>
      </c>
      <c r="S52">
        <v>130</v>
      </c>
      <c r="T52">
        <v>166</v>
      </c>
      <c r="U52">
        <v>0.78300000000000003</v>
      </c>
      <c r="V52">
        <v>57</v>
      </c>
      <c r="W52">
        <v>184</v>
      </c>
      <c r="X52">
        <v>241</v>
      </c>
      <c r="Y52">
        <v>194</v>
      </c>
      <c r="Z52">
        <v>76</v>
      </c>
      <c r="AA52">
        <v>18</v>
      </c>
      <c r="AB52">
        <v>123</v>
      </c>
      <c r="AC52">
        <v>136</v>
      </c>
      <c r="AD52">
        <v>962</v>
      </c>
    </row>
    <row r="53" spans="1:30" x14ac:dyDescent="0.3">
      <c r="A53">
        <v>42</v>
      </c>
      <c r="B53" t="s">
        <v>2027</v>
      </c>
      <c r="C53" t="s">
        <v>1956</v>
      </c>
      <c r="D53">
        <v>26</v>
      </c>
      <c r="E53" t="s">
        <v>1986</v>
      </c>
      <c r="F53">
        <v>24</v>
      </c>
      <c r="G53">
        <v>1</v>
      </c>
      <c r="H53">
        <v>505</v>
      </c>
      <c r="I53">
        <v>92</v>
      </c>
      <c r="J53">
        <v>212</v>
      </c>
      <c r="K53">
        <v>0.434</v>
      </c>
      <c r="L53">
        <v>8</v>
      </c>
      <c r="M53">
        <v>34</v>
      </c>
      <c r="N53">
        <v>0.23499999999999999</v>
      </c>
      <c r="O53">
        <v>84</v>
      </c>
      <c r="P53">
        <v>178</v>
      </c>
      <c r="Q53">
        <v>0.47199999999999998</v>
      </c>
      <c r="R53">
        <v>0.45300000000000001</v>
      </c>
      <c r="S53">
        <v>20</v>
      </c>
      <c r="T53">
        <v>26</v>
      </c>
      <c r="U53">
        <v>0.76900000000000002</v>
      </c>
      <c r="V53">
        <v>12</v>
      </c>
      <c r="W53">
        <v>77</v>
      </c>
      <c r="X53">
        <v>89</v>
      </c>
      <c r="Y53">
        <v>32</v>
      </c>
      <c r="Z53">
        <v>15</v>
      </c>
      <c r="AA53">
        <v>13</v>
      </c>
      <c r="AB53">
        <v>37</v>
      </c>
      <c r="AC53">
        <v>66</v>
      </c>
      <c r="AD53">
        <v>212</v>
      </c>
    </row>
    <row r="54" spans="1:30" x14ac:dyDescent="0.3">
      <c r="A54">
        <v>43</v>
      </c>
      <c r="B54" t="s">
        <v>2028</v>
      </c>
      <c r="C54" t="s">
        <v>1961</v>
      </c>
      <c r="D54">
        <v>28</v>
      </c>
      <c r="E54" t="s">
        <v>1990</v>
      </c>
      <c r="F54">
        <v>62</v>
      </c>
      <c r="G54">
        <v>9</v>
      </c>
      <c r="H54">
        <v>1388</v>
      </c>
      <c r="I54">
        <v>199</v>
      </c>
      <c r="J54">
        <v>470</v>
      </c>
      <c r="K54">
        <v>0.42299999999999999</v>
      </c>
      <c r="L54">
        <v>86</v>
      </c>
      <c r="M54">
        <v>230</v>
      </c>
      <c r="N54">
        <v>0.374</v>
      </c>
      <c r="O54">
        <v>113</v>
      </c>
      <c r="P54">
        <v>240</v>
      </c>
      <c r="Q54">
        <v>0.47099999999999997</v>
      </c>
      <c r="R54">
        <v>0.51500000000000001</v>
      </c>
      <c r="S54">
        <v>84</v>
      </c>
      <c r="T54">
        <v>99</v>
      </c>
      <c r="U54">
        <v>0.84799999999999998</v>
      </c>
      <c r="V54">
        <v>26</v>
      </c>
      <c r="W54">
        <v>131</v>
      </c>
      <c r="X54">
        <v>157</v>
      </c>
      <c r="Y54">
        <v>94</v>
      </c>
      <c r="Z54">
        <v>31</v>
      </c>
      <c r="AA54">
        <v>3</v>
      </c>
      <c r="AB54">
        <v>61</v>
      </c>
      <c r="AC54">
        <v>85</v>
      </c>
      <c r="AD54">
        <v>568</v>
      </c>
    </row>
    <row r="55" spans="1:30" x14ac:dyDescent="0.3">
      <c r="A55">
        <v>44</v>
      </c>
      <c r="B55" t="s">
        <v>2029</v>
      </c>
      <c r="C55" t="s">
        <v>1956</v>
      </c>
      <c r="D55">
        <v>23</v>
      </c>
      <c r="E55" t="s">
        <v>2030</v>
      </c>
      <c r="F55">
        <v>2</v>
      </c>
      <c r="G55">
        <v>0</v>
      </c>
      <c r="H55">
        <v>3</v>
      </c>
      <c r="I55">
        <v>0</v>
      </c>
      <c r="J55">
        <v>0</v>
      </c>
      <c r="L55">
        <v>0</v>
      </c>
      <c r="M55">
        <v>0</v>
      </c>
      <c r="O55">
        <v>0</v>
      </c>
      <c r="P55">
        <v>0</v>
      </c>
      <c r="S55">
        <v>0</v>
      </c>
      <c r="T55">
        <v>0</v>
      </c>
      <c r="V55">
        <v>1</v>
      </c>
      <c r="W55">
        <v>2</v>
      </c>
      <c r="X55">
        <v>3</v>
      </c>
      <c r="Y55">
        <v>0</v>
      </c>
      <c r="Z55">
        <v>0</v>
      </c>
      <c r="AA55">
        <v>0</v>
      </c>
      <c r="AB55">
        <v>1</v>
      </c>
      <c r="AC55">
        <v>0</v>
      </c>
      <c r="AD55">
        <v>0</v>
      </c>
    </row>
    <row r="56" spans="1:30" x14ac:dyDescent="0.3">
      <c r="A56">
        <v>45</v>
      </c>
      <c r="B56" t="s">
        <v>2031</v>
      </c>
      <c r="C56" t="s">
        <v>1956</v>
      </c>
      <c r="D56">
        <v>21</v>
      </c>
      <c r="E56" t="s">
        <v>1966</v>
      </c>
      <c r="F56">
        <v>57</v>
      </c>
      <c r="G56">
        <v>3</v>
      </c>
      <c r="H56">
        <v>894</v>
      </c>
      <c r="I56">
        <v>125</v>
      </c>
      <c r="J56">
        <v>297</v>
      </c>
      <c r="K56">
        <v>0.42099999999999999</v>
      </c>
      <c r="L56">
        <v>7</v>
      </c>
      <c r="M56">
        <v>23</v>
      </c>
      <c r="N56">
        <v>0.30399999999999999</v>
      </c>
      <c r="O56">
        <v>118</v>
      </c>
      <c r="P56">
        <v>274</v>
      </c>
      <c r="Q56">
        <v>0.43099999999999999</v>
      </c>
      <c r="R56">
        <v>0.433</v>
      </c>
      <c r="S56">
        <v>41</v>
      </c>
      <c r="T56">
        <v>64</v>
      </c>
      <c r="U56">
        <v>0.64100000000000001</v>
      </c>
      <c r="V56">
        <v>52</v>
      </c>
      <c r="W56">
        <v>164</v>
      </c>
      <c r="X56">
        <v>216</v>
      </c>
      <c r="Y56">
        <v>48</v>
      </c>
      <c r="Z56">
        <v>27</v>
      </c>
      <c r="AA56">
        <v>16</v>
      </c>
      <c r="AB56">
        <v>36</v>
      </c>
      <c r="AC56">
        <v>87</v>
      </c>
      <c r="AD56">
        <v>298</v>
      </c>
    </row>
    <row r="57" spans="1:30" x14ac:dyDescent="0.3">
      <c r="A57">
        <v>46</v>
      </c>
      <c r="B57" t="s">
        <v>2032</v>
      </c>
      <c r="C57" t="s">
        <v>2004</v>
      </c>
      <c r="D57">
        <v>26</v>
      </c>
      <c r="E57" t="s">
        <v>2000</v>
      </c>
      <c r="F57">
        <v>56</v>
      </c>
      <c r="G57">
        <v>55</v>
      </c>
      <c r="H57">
        <v>1727</v>
      </c>
      <c r="I57">
        <v>204</v>
      </c>
      <c r="J57">
        <v>532</v>
      </c>
      <c r="K57">
        <v>0.38300000000000001</v>
      </c>
      <c r="L57">
        <v>115</v>
      </c>
      <c r="M57">
        <v>323</v>
      </c>
      <c r="N57">
        <v>0.35599999999999998</v>
      </c>
      <c r="O57">
        <v>89</v>
      </c>
      <c r="P57">
        <v>209</v>
      </c>
      <c r="Q57">
        <v>0.42599999999999999</v>
      </c>
      <c r="R57">
        <v>0.49199999999999999</v>
      </c>
      <c r="S57">
        <v>45</v>
      </c>
      <c r="T57">
        <v>60</v>
      </c>
      <c r="U57">
        <v>0.75</v>
      </c>
      <c r="V57">
        <v>67</v>
      </c>
      <c r="W57">
        <v>170</v>
      </c>
      <c r="X57">
        <v>237</v>
      </c>
      <c r="Y57">
        <v>192</v>
      </c>
      <c r="Z57">
        <v>59</v>
      </c>
      <c r="AA57">
        <v>23</v>
      </c>
      <c r="AB57">
        <v>83</v>
      </c>
      <c r="AC57">
        <v>182</v>
      </c>
      <c r="AD57">
        <v>568</v>
      </c>
    </row>
    <row r="58" spans="1:30" x14ac:dyDescent="0.3">
      <c r="A58">
        <v>47</v>
      </c>
      <c r="B58" t="s">
        <v>2033</v>
      </c>
      <c r="C58" t="s">
        <v>213</v>
      </c>
      <c r="D58">
        <v>22</v>
      </c>
      <c r="E58" t="s">
        <v>2034</v>
      </c>
      <c r="F58">
        <v>3</v>
      </c>
      <c r="G58">
        <v>0</v>
      </c>
      <c r="H58">
        <v>3</v>
      </c>
      <c r="I58">
        <v>1</v>
      </c>
      <c r="J58">
        <v>2</v>
      </c>
      <c r="K58">
        <v>0.5</v>
      </c>
      <c r="L58">
        <v>0</v>
      </c>
      <c r="M58">
        <v>0</v>
      </c>
      <c r="O58">
        <v>1</v>
      </c>
      <c r="P58">
        <v>2</v>
      </c>
      <c r="Q58">
        <v>0.5</v>
      </c>
      <c r="R58">
        <v>0.5</v>
      </c>
      <c r="S58">
        <v>0</v>
      </c>
      <c r="T58">
        <v>0</v>
      </c>
      <c r="V58">
        <v>0</v>
      </c>
      <c r="W58">
        <v>1</v>
      </c>
      <c r="X58">
        <v>1</v>
      </c>
      <c r="Y58">
        <v>1</v>
      </c>
      <c r="Z58">
        <v>0</v>
      </c>
      <c r="AA58">
        <v>1</v>
      </c>
      <c r="AB58">
        <v>0</v>
      </c>
      <c r="AC58">
        <v>0</v>
      </c>
      <c r="AD58">
        <v>2</v>
      </c>
    </row>
    <row r="59" spans="1:30" x14ac:dyDescent="0.3">
      <c r="A59">
        <v>48</v>
      </c>
      <c r="B59" t="s">
        <v>2035</v>
      </c>
      <c r="C59" t="s">
        <v>213</v>
      </c>
      <c r="D59">
        <v>22</v>
      </c>
      <c r="E59" t="s">
        <v>2036</v>
      </c>
      <c r="F59">
        <v>64</v>
      </c>
      <c r="G59">
        <v>21</v>
      </c>
      <c r="H59">
        <v>1243</v>
      </c>
      <c r="I59">
        <v>101</v>
      </c>
      <c r="J59">
        <v>186</v>
      </c>
      <c r="K59">
        <v>0.54300000000000004</v>
      </c>
      <c r="L59">
        <v>0</v>
      </c>
      <c r="M59">
        <v>0</v>
      </c>
      <c r="O59">
        <v>101</v>
      </c>
      <c r="P59">
        <v>186</v>
      </c>
      <c r="Q59">
        <v>0.54300000000000004</v>
      </c>
      <c r="R59">
        <v>0.54300000000000004</v>
      </c>
      <c r="S59">
        <v>102</v>
      </c>
      <c r="T59">
        <v>175</v>
      </c>
      <c r="U59">
        <v>0.58299999999999996</v>
      </c>
      <c r="V59">
        <v>159</v>
      </c>
      <c r="W59">
        <v>248</v>
      </c>
      <c r="X59">
        <v>407</v>
      </c>
      <c r="Y59">
        <v>16</v>
      </c>
      <c r="Z59">
        <v>18</v>
      </c>
      <c r="AA59">
        <v>99</v>
      </c>
      <c r="AB59">
        <v>52</v>
      </c>
      <c r="AC59">
        <v>140</v>
      </c>
      <c r="AD59">
        <v>304</v>
      </c>
    </row>
    <row r="60" spans="1:30" x14ac:dyDescent="0.3">
      <c r="A60">
        <v>49</v>
      </c>
      <c r="B60" t="s">
        <v>2037</v>
      </c>
      <c r="C60" t="s">
        <v>213</v>
      </c>
      <c r="D60">
        <v>23</v>
      </c>
      <c r="E60" t="s">
        <v>1968</v>
      </c>
      <c r="F60">
        <v>63</v>
      </c>
      <c r="G60">
        <v>39</v>
      </c>
      <c r="H60">
        <v>1196</v>
      </c>
      <c r="I60">
        <v>157</v>
      </c>
      <c r="J60">
        <v>273</v>
      </c>
      <c r="K60">
        <v>0.57499999999999996</v>
      </c>
      <c r="L60">
        <v>0</v>
      </c>
      <c r="M60">
        <v>1</v>
      </c>
      <c r="N60">
        <v>0</v>
      </c>
      <c r="O60">
        <v>157</v>
      </c>
      <c r="P60">
        <v>272</v>
      </c>
      <c r="Q60">
        <v>0.57699999999999996</v>
      </c>
      <c r="R60">
        <v>0.57499999999999996</v>
      </c>
      <c r="S60">
        <v>65</v>
      </c>
      <c r="T60">
        <v>118</v>
      </c>
      <c r="U60">
        <v>0.55100000000000005</v>
      </c>
      <c r="V60">
        <v>142</v>
      </c>
      <c r="W60">
        <v>226</v>
      </c>
      <c r="X60">
        <v>368</v>
      </c>
      <c r="Y60">
        <v>42</v>
      </c>
      <c r="Z60">
        <v>19</v>
      </c>
      <c r="AA60">
        <v>24</v>
      </c>
      <c r="AB60">
        <v>48</v>
      </c>
      <c r="AC60">
        <v>158</v>
      </c>
      <c r="AD60">
        <v>379</v>
      </c>
    </row>
    <row r="61" spans="1:30" x14ac:dyDescent="0.3">
      <c r="A61">
        <v>49</v>
      </c>
      <c r="B61" t="s">
        <v>2037</v>
      </c>
      <c r="C61" t="s">
        <v>213</v>
      </c>
      <c r="D61">
        <v>23</v>
      </c>
      <c r="E61" t="s">
        <v>2000</v>
      </c>
      <c r="F61">
        <v>25</v>
      </c>
      <c r="G61">
        <v>12</v>
      </c>
      <c r="H61">
        <v>393</v>
      </c>
      <c r="I61">
        <v>45</v>
      </c>
      <c r="J61">
        <v>83</v>
      </c>
      <c r="K61">
        <v>0.54200000000000004</v>
      </c>
      <c r="L61">
        <v>0</v>
      </c>
      <c r="M61">
        <v>1</v>
      </c>
      <c r="N61">
        <v>0</v>
      </c>
      <c r="O61">
        <v>45</v>
      </c>
      <c r="P61">
        <v>82</v>
      </c>
      <c r="Q61">
        <v>0.54900000000000004</v>
      </c>
      <c r="R61">
        <v>0.54200000000000004</v>
      </c>
      <c r="S61">
        <v>15</v>
      </c>
      <c r="T61">
        <v>29</v>
      </c>
      <c r="U61">
        <v>0.51700000000000002</v>
      </c>
      <c r="V61">
        <v>58</v>
      </c>
      <c r="W61">
        <v>69</v>
      </c>
      <c r="X61">
        <v>127</v>
      </c>
      <c r="Y61">
        <v>8</v>
      </c>
      <c r="Z61">
        <v>6</v>
      </c>
      <c r="AA61">
        <v>2</v>
      </c>
      <c r="AB61">
        <v>19</v>
      </c>
      <c r="AC61">
        <v>56</v>
      </c>
      <c r="AD61">
        <v>105</v>
      </c>
    </row>
    <row r="62" spans="1:30" x14ac:dyDescent="0.3">
      <c r="A62">
        <v>49</v>
      </c>
      <c r="B62" t="s">
        <v>2037</v>
      </c>
      <c r="C62" t="s">
        <v>213</v>
      </c>
      <c r="D62">
        <v>23</v>
      </c>
      <c r="E62" t="s">
        <v>2038</v>
      </c>
      <c r="F62">
        <v>38</v>
      </c>
      <c r="G62">
        <v>27</v>
      </c>
      <c r="H62">
        <v>803</v>
      </c>
      <c r="I62">
        <v>112</v>
      </c>
      <c r="J62">
        <v>190</v>
      </c>
      <c r="K62">
        <v>0.58899999999999997</v>
      </c>
      <c r="L62">
        <v>0</v>
      </c>
      <c r="M62">
        <v>0</v>
      </c>
      <c r="O62">
        <v>112</v>
      </c>
      <c r="P62">
        <v>190</v>
      </c>
      <c r="Q62">
        <v>0.58899999999999997</v>
      </c>
      <c r="R62">
        <v>0.58899999999999997</v>
      </c>
      <c r="S62">
        <v>50</v>
      </c>
      <c r="T62">
        <v>89</v>
      </c>
      <c r="U62">
        <v>0.56200000000000006</v>
      </c>
      <c r="V62">
        <v>84</v>
      </c>
      <c r="W62">
        <v>157</v>
      </c>
      <c r="X62">
        <v>241</v>
      </c>
      <c r="Y62">
        <v>34</v>
      </c>
      <c r="Z62">
        <v>13</v>
      </c>
      <c r="AA62">
        <v>22</v>
      </c>
      <c r="AB62">
        <v>29</v>
      </c>
      <c r="AC62">
        <v>102</v>
      </c>
      <c r="AD62">
        <v>274</v>
      </c>
    </row>
    <row r="63" spans="1:30" x14ac:dyDescent="0.3">
      <c r="A63">
        <v>50</v>
      </c>
      <c r="B63" t="s">
        <v>2039</v>
      </c>
      <c r="C63" t="s">
        <v>1956</v>
      </c>
      <c r="D63">
        <v>25</v>
      </c>
      <c r="E63" t="s">
        <v>2026</v>
      </c>
      <c r="F63">
        <v>29</v>
      </c>
      <c r="G63">
        <v>0</v>
      </c>
      <c r="H63">
        <v>180</v>
      </c>
      <c r="I63">
        <v>26</v>
      </c>
      <c r="J63">
        <v>57</v>
      </c>
      <c r="K63">
        <v>0.45600000000000002</v>
      </c>
      <c r="L63">
        <v>0</v>
      </c>
      <c r="M63">
        <v>0</v>
      </c>
      <c r="O63">
        <v>26</v>
      </c>
      <c r="P63">
        <v>57</v>
      </c>
      <c r="Q63">
        <v>0.45600000000000002</v>
      </c>
      <c r="R63">
        <v>0.45600000000000002</v>
      </c>
      <c r="S63">
        <v>4</v>
      </c>
      <c r="T63">
        <v>6</v>
      </c>
      <c r="U63">
        <v>0.66700000000000004</v>
      </c>
      <c r="V63">
        <v>16</v>
      </c>
      <c r="W63">
        <v>40</v>
      </c>
      <c r="X63">
        <v>56</v>
      </c>
      <c r="Y63">
        <v>3</v>
      </c>
      <c r="Z63">
        <v>7</v>
      </c>
      <c r="AA63">
        <v>1</v>
      </c>
      <c r="AB63">
        <v>13</v>
      </c>
      <c r="AC63">
        <v>41</v>
      </c>
      <c r="AD63">
        <v>56</v>
      </c>
    </row>
    <row r="64" spans="1:30" x14ac:dyDescent="0.3">
      <c r="A64">
        <v>51</v>
      </c>
      <c r="B64" t="s">
        <v>2040</v>
      </c>
      <c r="C64" t="s">
        <v>2004</v>
      </c>
      <c r="D64">
        <v>34</v>
      </c>
      <c r="E64" t="s">
        <v>1970</v>
      </c>
      <c r="F64">
        <v>81</v>
      </c>
      <c r="G64">
        <v>0</v>
      </c>
      <c r="H64">
        <v>1529</v>
      </c>
      <c r="I64">
        <v>122</v>
      </c>
      <c r="J64">
        <v>327</v>
      </c>
      <c r="K64">
        <v>0.373</v>
      </c>
      <c r="L64">
        <v>77</v>
      </c>
      <c r="M64">
        <v>219</v>
      </c>
      <c r="N64">
        <v>0.35199999999999998</v>
      </c>
      <c r="O64">
        <v>45</v>
      </c>
      <c r="P64">
        <v>108</v>
      </c>
      <c r="Q64">
        <v>0.41699999999999998</v>
      </c>
      <c r="R64">
        <v>0.49099999999999999</v>
      </c>
      <c r="S64">
        <v>29</v>
      </c>
      <c r="T64">
        <v>41</v>
      </c>
      <c r="U64">
        <v>0.70699999999999996</v>
      </c>
      <c r="V64">
        <v>16</v>
      </c>
      <c r="W64">
        <v>121</v>
      </c>
      <c r="X64">
        <v>137</v>
      </c>
      <c r="Y64">
        <v>288</v>
      </c>
      <c r="Z64">
        <v>41</v>
      </c>
      <c r="AA64">
        <v>5</v>
      </c>
      <c r="AB64">
        <v>104</v>
      </c>
      <c r="AC64">
        <v>118</v>
      </c>
      <c r="AD64">
        <v>350</v>
      </c>
    </row>
    <row r="65" spans="1:30" x14ac:dyDescent="0.3">
      <c r="A65">
        <v>52</v>
      </c>
      <c r="B65" t="s">
        <v>2041</v>
      </c>
      <c r="C65" t="s">
        <v>2004</v>
      </c>
      <c r="D65">
        <v>25</v>
      </c>
      <c r="E65" t="s">
        <v>2017</v>
      </c>
      <c r="F65">
        <v>81</v>
      </c>
      <c r="G65">
        <v>81</v>
      </c>
      <c r="H65">
        <v>2800</v>
      </c>
      <c r="I65">
        <v>468</v>
      </c>
      <c r="J65">
        <v>1046</v>
      </c>
      <c r="K65">
        <v>0.44700000000000001</v>
      </c>
      <c r="L65">
        <v>88</v>
      </c>
      <c r="M65">
        <v>272</v>
      </c>
      <c r="N65">
        <v>0.32400000000000001</v>
      </c>
      <c r="O65">
        <v>380</v>
      </c>
      <c r="P65">
        <v>774</v>
      </c>
      <c r="Q65">
        <v>0.49099999999999999</v>
      </c>
      <c r="R65">
        <v>0.48899999999999999</v>
      </c>
      <c r="S65">
        <v>353</v>
      </c>
      <c r="T65">
        <v>441</v>
      </c>
      <c r="U65">
        <v>0.8</v>
      </c>
      <c r="V65">
        <v>72</v>
      </c>
      <c r="W65">
        <v>351</v>
      </c>
      <c r="X65">
        <v>423</v>
      </c>
      <c r="Y65">
        <v>493</v>
      </c>
      <c r="Z65">
        <v>127</v>
      </c>
      <c r="AA65">
        <v>45</v>
      </c>
      <c r="AB65">
        <v>274</v>
      </c>
      <c r="AC65">
        <v>189</v>
      </c>
      <c r="AD65">
        <v>1377</v>
      </c>
    </row>
    <row r="66" spans="1:30" x14ac:dyDescent="0.3">
      <c r="A66">
        <v>53</v>
      </c>
      <c r="B66" t="s">
        <v>2042</v>
      </c>
      <c r="C66" t="s">
        <v>1961</v>
      </c>
      <c r="D66">
        <v>22</v>
      </c>
      <c r="E66" t="s">
        <v>2038</v>
      </c>
      <c r="F66">
        <v>2</v>
      </c>
      <c r="G66">
        <v>1</v>
      </c>
      <c r="H66">
        <v>74</v>
      </c>
      <c r="I66">
        <v>9</v>
      </c>
      <c r="J66">
        <v>30</v>
      </c>
      <c r="K66">
        <v>0.3</v>
      </c>
      <c r="L66">
        <v>2</v>
      </c>
      <c r="M66">
        <v>10</v>
      </c>
      <c r="N66">
        <v>0.2</v>
      </c>
      <c r="O66">
        <v>7</v>
      </c>
      <c r="P66">
        <v>20</v>
      </c>
      <c r="Q66">
        <v>0.35</v>
      </c>
      <c r="R66">
        <v>0.33300000000000002</v>
      </c>
      <c r="S66">
        <v>2</v>
      </c>
      <c r="T66">
        <v>5</v>
      </c>
      <c r="U66">
        <v>0.4</v>
      </c>
      <c r="V66">
        <v>2</v>
      </c>
      <c r="W66">
        <v>7</v>
      </c>
      <c r="X66">
        <v>9</v>
      </c>
      <c r="Y66">
        <v>8</v>
      </c>
      <c r="Z66">
        <v>3</v>
      </c>
      <c r="AA66">
        <v>0</v>
      </c>
      <c r="AB66">
        <v>6</v>
      </c>
      <c r="AC66">
        <v>4</v>
      </c>
      <c r="AD66">
        <v>22</v>
      </c>
    </row>
    <row r="67" spans="1:30" x14ac:dyDescent="0.3">
      <c r="A67">
        <v>54</v>
      </c>
      <c r="B67" t="s">
        <v>2043</v>
      </c>
      <c r="C67" t="s">
        <v>1981</v>
      </c>
      <c r="D67">
        <v>25</v>
      </c>
      <c r="E67" t="s">
        <v>1988</v>
      </c>
      <c r="F67">
        <v>78</v>
      </c>
      <c r="G67">
        <v>28</v>
      </c>
      <c r="H67">
        <v>1854</v>
      </c>
      <c r="I67">
        <v>261</v>
      </c>
      <c r="J67">
        <v>576</v>
      </c>
      <c r="K67">
        <v>0.45300000000000001</v>
      </c>
      <c r="L67">
        <v>91</v>
      </c>
      <c r="M67">
        <v>256</v>
      </c>
      <c r="N67">
        <v>0.35499999999999998</v>
      </c>
      <c r="O67">
        <v>170</v>
      </c>
      <c r="P67">
        <v>320</v>
      </c>
      <c r="Q67">
        <v>0.53100000000000003</v>
      </c>
      <c r="R67">
        <v>0.53200000000000003</v>
      </c>
      <c r="S67">
        <v>87</v>
      </c>
      <c r="T67">
        <v>106</v>
      </c>
      <c r="U67">
        <v>0.82099999999999995</v>
      </c>
      <c r="V67">
        <v>50</v>
      </c>
      <c r="W67">
        <v>163</v>
      </c>
      <c r="X67">
        <v>213</v>
      </c>
      <c r="Y67">
        <v>68</v>
      </c>
      <c r="Z67">
        <v>34</v>
      </c>
      <c r="AA67">
        <v>9</v>
      </c>
      <c r="AB67">
        <v>78</v>
      </c>
      <c r="AC67">
        <v>104</v>
      </c>
      <c r="AD67">
        <v>700</v>
      </c>
    </row>
    <row r="68" spans="1:30" x14ac:dyDescent="0.3">
      <c r="A68">
        <v>55</v>
      </c>
      <c r="B68" t="s">
        <v>2044</v>
      </c>
      <c r="C68" t="s">
        <v>213</v>
      </c>
      <c r="D68">
        <v>30</v>
      </c>
      <c r="E68" t="s">
        <v>2010</v>
      </c>
      <c r="F68">
        <v>67</v>
      </c>
      <c r="G68">
        <v>65</v>
      </c>
      <c r="H68">
        <v>1583</v>
      </c>
      <c r="I68">
        <v>200</v>
      </c>
      <c r="J68">
        <v>355</v>
      </c>
      <c r="K68">
        <v>0.56299999999999994</v>
      </c>
      <c r="L68">
        <v>0</v>
      </c>
      <c r="M68">
        <v>0</v>
      </c>
      <c r="O68">
        <v>200</v>
      </c>
      <c r="P68">
        <v>355</v>
      </c>
      <c r="Q68">
        <v>0.56299999999999994</v>
      </c>
      <c r="R68">
        <v>0.56299999999999994</v>
      </c>
      <c r="S68">
        <v>22</v>
      </c>
      <c r="T68">
        <v>42</v>
      </c>
      <c r="U68">
        <v>0.52400000000000002</v>
      </c>
      <c r="V68">
        <v>141</v>
      </c>
      <c r="W68">
        <v>402</v>
      </c>
      <c r="X68">
        <v>543</v>
      </c>
      <c r="Y68">
        <v>180</v>
      </c>
      <c r="Z68">
        <v>39</v>
      </c>
      <c r="AA68">
        <v>113</v>
      </c>
      <c r="AB68">
        <v>106</v>
      </c>
      <c r="AC68">
        <v>188</v>
      </c>
      <c r="AD68">
        <v>422</v>
      </c>
    </row>
    <row r="69" spans="1:30" x14ac:dyDescent="0.3">
      <c r="A69">
        <v>56</v>
      </c>
      <c r="B69" t="s">
        <v>2045</v>
      </c>
      <c r="C69" t="s">
        <v>1956</v>
      </c>
      <c r="D69">
        <v>34</v>
      </c>
      <c r="E69" t="s">
        <v>1990</v>
      </c>
      <c r="F69">
        <v>72</v>
      </c>
      <c r="G69">
        <v>19</v>
      </c>
      <c r="H69">
        <v>935</v>
      </c>
      <c r="I69">
        <v>94</v>
      </c>
      <c r="J69">
        <v>230</v>
      </c>
      <c r="K69">
        <v>0.40899999999999997</v>
      </c>
      <c r="L69">
        <v>46</v>
      </c>
      <c r="M69">
        <v>126</v>
      </c>
      <c r="N69">
        <v>0.36499999999999999</v>
      </c>
      <c r="O69">
        <v>48</v>
      </c>
      <c r="P69">
        <v>104</v>
      </c>
      <c r="Q69">
        <v>0.46200000000000002</v>
      </c>
      <c r="R69">
        <v>0.50900000000000001</v>
      </c>
      <c r="S69">
        <v>30</v>
      </c>
      <c r="T69">
        <v>37</v>
      </c>
      <c r="U69">
        <v>0.81100000000000005</v>
      </c>
      <c r="V69">
        <v>29</v>
      </c>
      <c r="W69">
        <v>86</v>
      </c>
      <c r="X69">
        <v>115</v>
      </c>
      <c r="Y69">
        <v>47</v>
      </c>
      <c r="Z69">
        <v>10</v>
      </c>
      <c r="AA69">
        <v>12</v>
      </c>
      <c r="AB69">
        <v>11</v>
      </c>
      <c r="AC69">
        <v>65</v>
      </c>
      <c r="AD69">
        <v>264</v>
      </c>
    </row>
    <row r="70" spans="1:30" x14ac:dyDescent="0.3">
      <c r="A70">
        <v>57</v>
      </c>
      <c r="B70" t="s">
        <v>2046</v>
      </c>
      <c r="C70" t="s">
        <v>1956</v>
      </c>
      <c r="D70">
        <v>27</v>
      </c>
      <c r="E70" t="s">
        <v>2030</v>
      </c>
      <c r="F70">
        <v>79</v>
      </c>
      <c r="G70">
        <v>5</v>
      </c>
      <c r="H70">
        <v>1564</v>
      </c>
      <c r="I70">
        <v>226</v>
      </c>
      <c r="J70">
        <v>464</v>
      </c>
      <c r="K70">
        <v>0.48699999999999999</v>
      </c>
      <c r="L70">
        <v>29</v>
      </c>
      <c r="M70">
        <v>84</v>
      </c>
      <c r="N70">
        <v>0.34499999999999997</v>
      </c>
      <c r="O70">
        <v>197</v>
      </c>
      <c r="P70">
        <v>380</v>
      </c>
      <c r="Q70">
        <v>0.51800000000000002</v>
      </c>
      <c r="R70">
        <v>0.51800000000000002</v>
      </c>
      <c r="S70">
        <v>86</v>
      </c>
      <c r="T70">
        <v>148</v>
      </c>
      <c r="U70">
        <v>0.58099999999999996</v>
      </c>
      <c r="V70">
        <v>139</v>
      </c>
      <c r="W70">
        <v>258</v>
      </c>
      <c r="X70">
        <v>397</v>
      </c>
      <c r="Y70">
        <v>83</v>
      </c>
      <c r="Z70">
        <v>43</v>
      </c>
      <c r="AA70">
        <v>41</v>
      </c>
      <c r="AB70">
        <v>88</v>
      </c>
      <c r="AC70">
        <v>144</v>
      </c>
      <c r="AD70">
        <v>567</v>
      </c>
    </row>
    <row r="71" spans="1:30" x14ac:dyDescent="0.3">
      <c r="A71">
        <v>58</v>
      </c>
      <c r="B71" t="s">
        <v>2047</v>
      </c>
      <c r="C71" t="s">
        <v>1956</v>
      </c>
      <c r="D71">
        <v>33</v>
      </c>
      <c r="E71" t="s">
        <v>2038</v>
      </c>
      <c r="F71">
        <v>71</v>
      </c>
      <c r="G71">
        <v>26</v>
      </c>
      <c r="H71">
        <v>1692</v>
      </c>
      <c r="I71">
        <v>371</v>
      </c>
      <c r="J71">
        <v>743</v>
      </c>
      <c r="K71">
        <v>0.499</v>
      </c>
      <c r="L71">
        <v>0</v>
      </c>
      <c r="M71">
        <v>0</v>
      </c>
      <c r="O71">
        <v>371</v>
      </c>
      <c r="P71">
        <v>743</v>
      </c>
      <c r="Q71">
        <v>0.499</v>
      </c>
      <c r="R71">
        <v>0.499</v>
      </c>
      <c r="S71">
        <v>94</v>
      </c>
      <c r="T71">
        <v>150</v>
      </c>
      <c r="U71">
        <v>0.627</v>
      </c>
      <c r="V71">
        <v>111</v>
      </c>
      <c r="W71">
        <v>371</v>
      </c>
      <c r="X71">
        <v>482</v>
      </c>
      <c r="Y71">
        <v>95</v>
      </c>
      <c r="Z71">
        <v>41</v>
      </c>
      <c r="AA71">
        <v>12</v>
      </c>
      <c r="AB71">
        <v>92</v>
      </c>
      <c r="AC71">
        <v>184</v>
      </c>
      <c r="AD71">
        <v>836</v>
      </c>
    </row>
    <row r="72" spans="1:30" x14ac:dyDescent="0.3">
      <c r="A72">
        <v>59</v>
      </c>
      <c r="B72" t="s">
        <v>2048</v>
      </c>
      <c r="C72" t="s">
        <v>213</v>
      </c>
      <c r="D72">
        <v>30</v>
      </c>
      <c r="E72" t="s">
        <v>1986</v>
      </c>
      <c r="F72">
        <v>44</v>
      </c>
      <c r="G72">
        <v>44</v>
      </c>
      <c r="H72">
        <v>1556</v>
      </c>
      <c r="I72">
        <v>343</v>
      </c>
      <c r="J72">
        <v>745</v>
      </c>
      <c r="K72">
        <v>0.46</v>
      </c>
      <c r="L72">
        <v>63</v>
      </c>
      <c r="M72">
        <v>168</v>
      </c>
      <c r="N72">
        <v>0.375</v>
      </c>
      <c r="O72">
        <v>280</v>
      </c>
      <c r="P72">
        <v>577</v>
      </c>
      <c r="Q72">
        <v>0.48499999999999999</v>
      </c>
      <c r="R72">
        <v>0.503</v>
      </c>
      <c r="S72">
        <v>179</v>
      </c>
      <c r="T72">
        <v>232</v>
      </c>
      <c r="U72">
        <v>0.77200000000000002</v>
      </c>
      <c r="V72">
        <v>46</v>
      </c>
      <c r="W72">
        <v>264</v>
      </c>
      <c r="X72">
        <v>310</v>
      </c>
      <c r="Y72">
        <v>95</v>
      </c>
      <c r="Z72">
        <v>41</v>
      </c>
      <c r="AA72">
        <v>25</v>
      </c>
      <c r="AB72">
        <v>95</v>
      </c>
      <c r="AC72">
        <v>69</v>
      </c>
      <c r="AD72">
        <v>928</v>
      </c>
    </row>
    <row r="73" spans="1:30" x14ac:dyDescent="0.3">
      <c r="A73">
        <v>60</v>
      </c>
      <c r="B73" t="s">
        <v>2049</v>
      </c>
      <c r="C73" t="s">
        <v>1961</v>
      </c>
      <c r="D73">
        <v>24</v>
      </c>
      <c r="E73" t="s">
        <v>2020</v>
      </c>
      <c r="F73">
        <v>77</v>
      </c>
      <c r="G73">
        <v>77</v>
      </c>
      <c r="H73">
        <v>2428</v>
      </c>
      <c r="I73">
        <v>434</v>
      </c>
      <c r="J73">
        <v>1012</v>
      </c>
      <c r="K73">
        <v>0.42899999999999999</v>
      </c>
      <c r="L73">
        <v>124</v>
      </c>
      <c r="M73">
        <v>352</v>
      </c>
      <c r="N73">
        <v>0.35199999999999998</v>
      </c>
      <c r="O73">
        <v>310</v>
      </c>
      <c r="P73">
        <v>660</v>
      </c>
      <c r="Q73">
        <v>0.47</v>
      </c>
      <c r="R73">
        <v>0.49</v>
      </c>
      <c r="S73">
        <v>79</v>
      </c>
      <c r="T73">
        <v>100</v>
      </c>
      <c r="U73">
        <v>0.79</v>
      </c>
      <c r="V73">
        <v>46</v>
      </c>
      <c r="W73">
        <v>195</v>
      </c>
      <c r="X73">
        <v>241</v>
      </c>
      <c r="Y73">
        <v>135</v>
      </c>
      <c r="Z73">
        <v>82</v>
      </c>
      <c r="AA73">
        <v>15</v>
      </c>
      <c r="AB73">
        <v>109</v>
      </c>
      <c r="AC73">
        <v>177</v>
      </c>
      <c r="AD73">
        <v>1071</v>
      </c>
    </row>
    <row r="74" spans="1:30" x14ac:dyDescent="0.3">
      <c r="A74" t="s">
        <v>1929</v>
      </c>
      <c r="B74" t="s">
        <v>1930</v>
      </c>
      <c r="C74" t="s">
        <v>1931</v>
      </c>
      <c r="D74" t="s">
        <v>198</v>
      </c>
      <c r="E74" t="s">
        <v>1932</v>
      </c>
      <c r="F74" t="s">
        <v>1933</v>
      </c>
      <c r="G74" t="s">
        <v>1934</v>
      </c>
      <c r="H74" t="s">
        <v>1935</v>
      </c>
      <c r="I74" t="s">
        <v>1936</v>
      </c>
      <c r="J74" t="s">
        <v>1937</v>
      </c>
      <c r="K74" t="s">
        <v>1938</v>
      </c>
      <c r="L74" t="s">
        <v>1939</v>
      </c>
      <c r="M74" t="s">
        <v>1940</v>
      </c>
      <c r="N74" t="s">
        <v>1941</v>
      </c>
      <c r="O74" t="s">
        <v>1942</v>
      </c>
      <c r="P74" t="s">
        <v>1943</v>
      </c>
      <c r="Q74" t="s">
        <v>1944</v>
      </c>
      <c r="R74" t="s">
        <v>1945</v>
      </c>
      <c r="S74" t="s">
        <v>1946</v>
      </c>
      <c r="T74" t="s">
        <v>1947</v>
      </c>
      <c r="U74" t="s">
        <v>1948</v>
      </c>
      <c r="V74" t="s">
        <v>1949</v>
      </c>
      <c r="W74" t="s">
        <v>1950</v>
      </c>
      <c r="X74" t="s">
        <v>1951</v>
      </c>
      <c r="Y74" t="s">
        <v>1952</v>
      </c>
      <c r="Z74" t="s">
        <v>1953</v>
      </c>
      <c r="AA74" t="s">
        <v>1954</v>
      </c>
      <c r="AB74" t="s">
        <v>1955</v>
      </c>
      <c r="AC74" t="s">
        <v>1956</v>
      </c>
      <c r="AD74" t="s">
        <v>1957</v>
      </c>
    </row>
    <row r="75" spans="1:30" x14ac:dyDescent="0.3">
      <c r="A75">
        <v>61</v>
      </c>
      <c r="B75" t="s">
        <v>2050</v>
      </c>
      <c r="C75" t="s">
        <v>213</v>
      </c>
      <c r="D75">
        <v>35</v>
      </c>
      <c r="E75" t="s">
        <v>1998</v>
      </c>
      <c r="F75">
        <v>36</v>
      </c>
      <c r="G75">
        <v>4</v>
      </c>
      <c r="H75">
        <v>486</v>
      </c>
      <c r="I75">
        <v>42</v>
      </c>
      <c r="J75">
        <v>95</v>
      </c>
      <c r="K75">
        <v>0.442</v>
      </c>
      <c r="L75">
        <v>0</v>
      </c>
      <c r="M75">
        <v>1</v>
      </c>
      <c r="N75">
        <v>0</v>
      </c>
      <c r="O75">
        <v>42</v>
      </c>
      <c r="P75">
        <v>94</v>
      </c>
      <c r="Q75">
        <v>0.44700000000000001</v>
      </c>
      <c r="R75">
        <v>0.442</v>
      </c>
      <c r="S75">
        <v>12</v>
      </c>
      <c r="T75">
        <v>23</v>
      </c>
      <c r="U75">
        <v>0.52200000000000002</v>
      </c>
      <c r="V75">
        <v>28</v>
      </c>
      <c r="W75">
        <v>72</v>
      </c>
      <c r="X75">
        <v>100</v>
      </c>
      <c r="Y75">
        <v>22</v>
      </c>
      <c r="Z75">
        <v>17</v>
      </c>
      <c r="AA75">
        <v>25</v>
      </c>
      <c r="AB75">
        <v>18</v>
      </c>
      <c r="AC75">
        <v>54</v>
      </c>
      <c r="AD75">
        <v>96</v>
      </c>
    </row>
    <row r="76" spans="1:30" x14ac:dyDescent="0.3">
      <c r="A76">
        <v>62</v>
      </c>
      <c r="B76" t="s">
        <v>2051</v>
      </c>
      <c r="C76" t="s">
        <v>1981</v>
      </c>
      <c r="D76">
        <v>28</v>
      </c>
      <c r="E76" t="s">
        <v>1968</v>
      </c>
      <c r="F76">
        <v>80</v>
      </c>
      <c r="G76">
        <v>17</v>
      </c>
      <c r="H76">
        <v>2087</v>
      </c>
      <c r="I76">
        <v>343</v>
      </c>
      <c r="J76">
        <v>805</v>
      </c>
      <c r="K76">
        <v>0.42599999999999999</v>
      </c>
      <c r="L76">
        <v>63</v>
      </c>
      <c r="M76">
        <v>235</v>
      </c>
      <c r="N76">
        <v>0.26800000000000002</v>
      </c>
      <c r="O76">
        <v>280</v>
      </c>
      <c r="P76">
        <v>570</v>
      </c>
      <c r="Q76">
        <v>0.49099999999999999</v>
      </c>
      <c r="R76">
        <v>0.46500000000000002</v>
      </c>
      <c r="S76">
        <v>168</v>
      </c>
      <c r="T76">
        <v>226</v>
      </c>
      <c r="U76">
        <v>0.74299999999999999</v>
      </c>
      <c r="V76">
        <v>80</v>
      </c>
      <c r="W76">
        <v>217</v>
      </c>
      <c r="X76">
        <v>297</v>
      </c>
      <c r="Y76">
        <v>173</v>
      </c>
      <c r="Z76">
        <v>114</v>
      </c>
      <c r="AA76">
        <v>19</v>
      </c>
      <c r="AB76">
        <v>131</v>
      </c>
      <c r="AC76">
        <v>173</v>
      </c>
      <c r="AD76">
        <v>917</v>
      </c>
    </row>
    <row r="77" spans="1:30" x14ac:dyDescent="0.3">
      <c r="A77">
        <v>62</v>
      </c>
      <c r="B77" t="s">
        <v>2051</v>
      </c>
      <c r="C77" t="s">
        <v>1981</v>
      </c>
      <c r="D77">
        <v>28</v>
      </c>
      <c r="E77" t="s">
        <v>1966</v>
      </c>
      <c r="F77">
        <v>24</v>
      </c>
      <c r="G77">
        <v>16</v>
      </c>
      <c r="H77">
        <v>680</v>
      </c>
      <c r="I77">
        <v>94</v>
      </c>
      <c r="J77">
        <v>225</v>
      </c>
      <c r="K77">
        <v>0.41799999999999998</v>
      </c>
      <c r="L77">
        <v>8</v>
      </c>
      <c r="M77">
        <v>41</v>
      </c>
      <c r="N77">
        <v>0.19500000000000001</v>
      </c>
      <c r="O77">
        <v>86</v>
      </c>
      <c r="P77">
        <v>184</v>
      </c>
      <c r="Q77">
        <v>0.46700000000000003</v>
      </c>
      <c r="R77">
        <v>0.436</v>
      </c>
      <c r="S77">
        <v>55</v>
      </c>
      <c r="T77">
        <v>78</v>
      </c>
      <c r="U77">
        <v>0.70499999999999996</v>
      </c>
      <c r="V77">
        <v>32</v>
      </c>
      <c r="W77">
        <v>62</v>
      </c>
      <c r="X77">
        <v>94</v>
      </c>
      <c r="Y77">
        <v>78</v>
      </c>
      <c r="Z77">
        <v>54</v>
      </c>
      <c r="AA77">
        <v>4</v>
      </c>
      <c r="AB77">
        <v>50</v>
      </c>
      <c r="AC77">
        <v>62</v>
      </c>
      <c r="AD77">
        <v>251</v>
      </c>
    </row>
    <row r="78" spans="1:30" x14ac:dyDescent="0.3">
      <c r="A78">
        <v>62</v>
      </c>
      <c r="B78" t="s">
        <v>2051</v>
      </c>
      <c r="C78" t="s">
        <v>1981</v>
      </c>
      <c r="D78">
        <v>28</v>
      </c>
      <c r="E78" t="s">
        <v>2000</v>
      </c>
      <c r="F78">
        <v>56</v>
      </c>
      <c r="G78">
        <v>1</v>
      </c>
      <c r="H78">
        <v>1407</v>
      </c>
      <c r="I78">
        <v>249</v>
      </c>
      <c r="J78">
        <v>580</v>
      </c>
      <c r="K78">
        <v>0.42899999999999999</v>
      </c>
      <c r="L78">
        <v>55</v>
      </c>
      <c r="M78">
        <v>194</v>
      </c>
      <c r="N78">
        <v>0.28399999999999997</v>
      </c>
      <c r="O78">
        <v>194</v>
      </c>
      <c r="P78">
        <v>386</v>
      </c>
      <c r="Q78">
        <v>0.503</v>
      </c>
      <c r="R78">
        <v>0.47699999999999998</v>
      </c>
      <c r="S78">
        <v>113</v>
      </c>
      <c r="T78">
        <v>148</v>
      </c>
      <c r="U78">
        <v>0.76400000000000001</v>
      </c>
      <c r="V78">
        <v>48</v>
      </c>
      <c r="W78">
        <v>155</v>
      </c>
      <c r="X78">
        <v>203</v>
      </c>
      <c r="Y78">
        <v>95</v>
      </c>
      <c r="Z78">
        <v>60</v>
      </c>
      <c r="AA78">
        <v>15</v>
      </c>
      <c r="AB78">
        <v>81</v>
      </c>
      <c r="AC78">
        <v>111</v>
      </c>
      <c r="AD78">
        <v>666</v>
      </c>
    </row>
    <row r="79" spans="1:30" x14ac:dyDescent="0.3">
      <c r="A79">
        <v>63</v>
      </c>
      <c r="B79" t="s">
        <v>2052</v>
      </c>
      <c r="C79" t="s">
        <v>2004</v>
      </c>
      <c r="D79">
        <v>30</v>
      </c>
      <c r="E79" t="s">
        <v>2008</v>
      </c>
      <c r="F79">
        <v>82</v>
      </c>
      <c r="G79">
        <v>21</v>
      </c>
      <c r="H79">
        <v>1885</v>
      </c>
      <c r="I79">
        <v>344</v>
      </c>
      <c r="J79">
        <v>817</v>
      </c>
      <c r="K79">
        <v>0.42099999999999999</v>
      </c>
      <c r="L79">
        <v>121</v>
      </c>
      <c r="M79">
        <v>313</v>
      </c>
      <c r="N79">
        <v>0.38700000000000001</v>
      </c>
      <c r="O79">
        <v>223</v>
      </c>
      <c r="P79">
        <v>504</v>
      </c>
      <c r="Q79">
        <v>0.442</v>
      </c>
      <c r="R79">
        <v>0.495</v>
      </c>
      <c r="S79">
        <v>145</v>
      </c>
      <c r="T79">
        <v>174</v>
      </c>
      <c r="U79">
        <v>0.83299999999999996</v>
      </c>
      <c r="V79">
        <v>32</v>
      </c>
      <c r="W79">
        <v>134</v>
      </c>
      <c r="X79">
        <v>166</v>
      </c>
      <c r="Y79">
        <v>261</v>
      </c>
      <c r="Z79">
        <v>54</v>
      </c>
      <c r="AA79">
        <v>15</v>
      </c>
      <c r="AB79">
        <v>157</v>
      </c>
      <c r="AC79">
        <v>189</v>
      </c>
      <c r="AD79">
        <v>954</v>
      </c>
    </row>
    <row r="80" spans="1:30" x14ac:dyDescent="0.3">
      <c r="A80">
        <v>64</v>
      </c>
      <c r="B80" t="s">
        <v>2053</v>
      </c>
      <c r="C80" t="s">
        <v>1961</v>
      </c>
      <c r="D80">
        <v>22</v>
      </c>
      <c r="E80" t="s">
        <v>2038</v>
      </c>
      <c r="F80">
        <v>19</v>
      </c>
      <c r="G80">
        <v>5</v>
      </c>
      <c r="H80">
        <v>568</v>
      </c>
      <c r="I80">
        <v>70</v>
      </c>
      <c r="J80">
        <v>170</v>
      </c>
      <c r="K80">
        <v>0.41199999999999998</v>
      </c>
      <c r="L80">
        <v>23</v>
      </c>
      <c r="M80">
        <v>62</v>
      </c>
      <c r="N80">
        <v>0.371</v>
      </c>
      <c r="O80">
        <v>47</v>
      </c>
      <c r="P80">
        <v>108</v>
      </c>
      <c r="Q80">
        <v>0.435</v>
      </c>
      <c r="R80">
        <v>0.47899999999999998</v>
      </c>
      <c r="S80">
        <v>64</v>
      </c>
      <c r="T80">
        <v>85</v>
      </c>
      <c r="U80">
        <v>0.753</v>
      </c>
      <c r="V80">
        <v>3</v>
      </c>
      <c r="W80">
        <v>33</v>
      </c>
      <c r="X80">
        <v>36</v>
      </c>
      <c r="Y80">
        <v>40</v>
      </c>
      <c r="Z80">
        <v>12</v>
      </c>
      <c r="AA80">
        <v>2</v>
      </c>
      <c r="AB80">
        <v>32</v>
      </c>
      <c r="AC80">
        <v>33</v>
      </c>
      <c r="AD80">
        <v>227</v>
      </c>
    </row>
    <row r="81" spans="1:30" x14ac:dyDescent="0.3">
      <c r="A81">
        <v>65</v>
      </c>
      <c r="B81" t="s">
        <v>2054</v>
      </c>
      <c r="C81" t="s">
        <v>2004</v>
      </c>
      <c r="D81">
        <v>24</v>
      </c>
      <c r="E81" t="s">
        <v>1966</v>
      </c>
      <c r="F81">
        <v>29</v>
      </c>
      <c r="G81">
        <v>7</v>
      </c>
      <c r="H81">
        <v>549</v>
      </c>
      <c r="I81">
        <v>52</v>
      </c>
      <c r="J81">
        <v>122</v>
      </c>
      <c r="K81">
        <v>0.42599999999999999</v>
      </c>
      <c r="L81">
        <v>6</v>
      </c>
      <c r="M81">
        <v>28</v>
      </c>
      <c r="N81">
        <v>0.214</v>
      </c>
      <c r="O81">
        <v>46</v>
      </c>
      <c r="P81">
        <v>94</v>
      </c>
      <c r="Q81">
        <v>0.48899999999999999</v>
      </c>
      <c r="R81">
        <v>0.45100000000000001</v>
      </c>
      <c r="S81">
        <v>12</v>
      </c>
      <c r="T81">
        <v>19</v>
      </c>
      <c r="U81">
        <v>0.63200000000000001</v>
      </c>
      <c r="V81">
        <v>14</v>
      </c>
      <c r="W81">
        <v>56</v>
      </c>
      <c r="X81">
        <v>70</v>
      </c>
      <c r="Y81">
        <v>90</v>
      </c>
      <c r="Z81">
        <v>28</v>
      </c>
      <c r="AA81">
        <v>6</v>
      </c>
      <c r="AB81">
        <v>30</v>
      </c>
      <c r="AC81">
        <v>49</v>
      </c>
      <c r="AD81">
        <v>122</v>
      </c>
    </row>
    <row r="82" spans="1:30" x14ac:dyDescent="0.3">
      <c r="A82">
        <v>66</v>
      </c>
      <c r="B82" t="s">
        <v>2055</v>
      </c>
      <c r="C82" t="s">
        <v>1961</v>
      </c>
      <c r="D82">
        <v>23</v>
      </c>
      <c r="E82" t="s">
        <v>1988</v>
      </c>
      <c r="F82">
        <v>47</v>
      </c>
      <c r="G82">
        <v>29</v>
      </c>
      <c r="H82">
        <v>781</v>
      </c>
      <c r="I82">
        <v>76</v>
      </c>
      <c r="J82">
        <v>210</v>
      </c>
      <c r="K82">
        <v>0.36199999999999999</v>
      </c>
      <c r="L82">
        <v>17</v>
      </c>
      <c r="M82">
        <v>64</v>
      </c>
      <c r="N82">
        <v>0.26600000000000001</v>
      </c>
      <c r="O82">
        <v>59</v>
      </c>
      <c r="P82">
        <v>146</v>
      </c>
      <c r="Q82">
        <v>0.40400000000000003</v>
      </c>
      <c r="R82">
        <v>0.40200000000000002</v>
      </c>
      <c r="S82">
        <v>47</v>
      </c>
      <c r="T82">
        <v>57</v>
      </c>
      <c r="U82">
        <v>0.82499999999999996</v>
      </c>
      <c r="V82">
        <v>16</v>
      </c>
      <c r="W82">
        <v>91</v>
      </c>
      <c r="X82">
        <v>107</v>
      </c>
      <c r="Y82">
        <v>39</v>
      </c>
      <c r="Z82">
        <v>31</v>
      </c>
      <c r="AA82">
        <v>12</v>
      </c>
      <c r="AB82">
        <v>27</v>
      </c>
      <c r="AC82">
        <v>57</v>
      </c>
      <c r="AD82">
        <v>216</v>
      </c>
    </row>
    <row r="83" spans="1:30" x14ac:dyDescent="0.3">
      <c r="A83">
        <v>67</v>
      </c>
      <c r="B83" t="s">
        <v>2056</v>
      </c>
      <c r="C83" t="s">
        <v>1961</v>
      </c>
      <c r="D83">
        <v>29</v>
      </c>
      <c r="E83" t="s">
        <v>1986</v>
      </c>
      <c r="F83">
        <v>5</v>
      </c>
      <c r="G83">
        <v>2</v>
      </c>
      <c r="H83">
        <v>89</v>
      </c>
      <c r="I83">
        <v>7</v>
      </c>
      <c r="J83">
        <v>19</v>
      </c>
      <c r="K83">
        <v>0.36799999999999999</v>
      </c>
      <c r="L83">
        <v>3</v>
      </c>
      <c r="M83">
        <v>7</v>
      </c>
      <c r="N83">
        <v>0.42899999999999999</v>
      </c>
      <c r="O83">
        <v>4</v>
      </c>
      <c r="P83">
        <v>12</v>
      </c>
      <c r="Q83">
        <v>0.33300000000000002</v>
      </c>
      <c r="R83">
        <v>0.44700000000000001</v>
      </c>
      <c r="S83">
        <v>3</v>
      </c>
      <c r="T83">
        <v>4</v>
      </c>
      <c r="U83">
        <v>0.75</v>
      </c>
      <c r="V83">
        <v>0</v>
      </c>
      <c r="W83">
        <v>1</v>
      </c>
      <c r="X83">
        <v>1</v>
      </c>
      <c r="Y83">
        <v>3</v>
      </c>
      <c r="Z83">
        <v>4</v>
      </c>
      <c r="AA83">
        <v>0</v>
      </c>
      <c r="AB83">
        <v>4</v>
      </c>
      <c r="AC83">
        <v>8</v>
      </c>
      <c r="AD83">
        <v>20</v>
      </c>
    </row>
    <row r="84" spans="1:30" x14ac:dyDescent="0.3">
      <c r="A84">
        <v>68</v>
      </c>
      <c r="B84" t="s">
        <v>2057</v>
      </c>
      <c r="C84" t="s">
        <v>1961</v>
      </c>
      <c r="D84">
        <v>36</v>
      </c>
      <c r="E84" t="s">
        <v>2038</v>
      </c>
      <c r="F84">
        <v>35</v>
      </c>
      <c r="G84">
        <v>35</v>
      </c>
      <c r="H84">
        <v>1207</v>
      </c>
      <c r="I84">
        <v>266</v>
      </c>
      <c r="J84">
        <v>713</v>
      </c>
      <c r="K84">
        <v>0.373</v>
      </c>
      <c r="L84">
        <v>54</v>
      </c>
      <c r="M84">
        <v>184</v>
      </c>
      <c r="N84">
        <v>0.29299999999999998</v>
      </c>
      <c r="O84">
        <v>212</v>
      </c>
      <c r="P84">
        <v>529</v>
      </c>
      <c r="Q84">
        <v>0.40100000000000002</v>
      </c>
      <c r="R84">
        <v>0.41099999999999998</v>
      </c>
      <c r="S84">
        <v>196</v>
      </c>
      <c r="T84">
        <v>241</v>
      </c>
      <c r="U84">
        <v>0.81299999999999994</v>
      </c>
      <c r="V84">
        <v>26</v>
      </c>
      <c r="W84">
        <v>173</v>
      </c>
      <c r="X84">
        <v>199</v>
      </c>
      <c r="Y84">
        <v>197</v>
      </c>
      <c r="Z84">
        <v>47</v>
      </c>
      <c r="AA84">
        <v>7</v>
      </c>
      <c r="AB84">
        <v>128</v>
      </c>
      <c r="AC84">
        <v>65</v>
      </c>
      <c r="AD84">
        <v>782</v>
      </c>
    </row>
    <row r="85" spans="1:30" x14ac:dyDescent="0.3">
      <c r="A85">
        <v>69</v>
      </c>
      <c r="B85" t="s">
        <v>2058</v>
      </c>
      <c r="C85" t="s">
        <v>1981</v>
      </c>
      <c r="D85">
        <v>26</v>
      </c>
      <c r="E85" t="s">
        <v>1966</v>
      </c>
      <c r="F85">
        <v>67</v>
      </c>
      <c r="G85">
        <v>4</v>
      </c>
      <c r="H85">
        <v>1286</v>
      </c>
      <c r="I85">
        <v>169</v>
      </c>
      <c r="J85">
        <v>390</v>
      </c>
      <c r="K85">
        <v>0.433</v>
      </c>
      <c r="L85">
        <v>52</v>
      </c>
      <c r="M85">
        <v>143</v>
      </c>
      <c r="N85">
        <v>0.36399999999999999</v>
      </c>
      <c r="O85">
        <v>117</v>
      </c>
      <c r="P85">
        <v>247</v>
      </c>
      <c r="Q85">
        <v>0.47399999999999998</v>
      </c>
      <c r="R85">
        <v>0.5</v>
      </c>
      <c r="S85">
        <v>67</v>
      </c>
      <c r="T85">
        <v>81</v>
      </c>
      <c r="U85">
        <v>0.82699999999999996</v>
      </c>
      <c r="V85">
        <v>33</v>
      </c>
      <c r="W85">
        <v>165</v>
      </c>
      <c r="X85">
        <v>198</v>
      </c>
      <c r="Y85">
        <v>64</v>
      </c>
      <c r="Z85">
        <v>44</v>
      </c>
      <c r="AA85">
        <v>10</v>
      </c>
      <c r="AB85">
        <v>49</v>
      </c>
      <c r="AC85">
        <v>72</v>
      </c>
      <c r="AD85">
        <v>457</v>
      </c>
    </row>
    <row r="86" spans="1:30" x14ac:dyDescent="0.3">
      <c r="A86">
        <v>70</v>
      </c>
      <c r="B86" t="s">
        <v>2059</v>
      </c>
      <c r="C86" t="s">
        <v>1981</v>
      </c>
      <c r="D86">
        <v>23</v>
      </c>
      <c r="E86" t="s">
        <v>1968</v>
      </c>
      <c r="F86">
        <v>36</v>
      </c>
      <c r="G86">
        <v>2</v>
      </c>
      <c r="H86">
        <v>338</v>
      </c>
      <c r="I86">
        <v>24</v>
      </c>
      <c r="J86">
        <v>70</v>
      </c>
      <c r="K86">
        <v>0.34300000000000003</v>
      </c>
      <c r="L86">
        <v>15</v>
      </c>
      <c r="M86">
        <v>46</v>
      </c>
      <c r="N86">
        <v>0.32600000000000001</v>
      </c>
      <c r="O86">
        <v>9</v>
      </c>
      <c r="P86">
        <v>24</v>
      </c>
      <c r="Q86">
        <v>0.375</v>
      </c>
      <c r="R86">
        <v>0.45</v>
      </c>
      <c r="S86">
        <v>6</v>
      </c>
      <c r="T86">
        <v>9</v>
      </c>
      <c r="U86">
        <v>0.66700000000000004</v>
      </c>
      <c r="V86">
        <v>1</v>
      </c>
      <c r="W86">
        <v>49</v>
      </c>
      <c r="X86">
        <v>50</v>
      </c>
      <c r="Y86">
        <v>8</v>
      </c>
      <c r="Z86">
        <v>10</v>
      </c>
      <c r="AA86">
        <v>4</v>
      </c>
      <c r="AB86">
        <v>8</v>
      </c>
      <c r="AC86">
        <v>19</v>
      </c>
      <c r="AD86">
        <v>69</v>
      </c>
    </row>
    <row r="87" spans="1:30" x14ac:dyDescent="0.3">
      <c r="A87">
        <v>70</v>
      </c>
      <c r="B87" t="s">
        <v>2059</v>
      </c>
      <c r="C87" t="s">
        <v>1981</v>
      </c>
      <c r="D87">
        <v>23</v>
      </c>
      <c r="E87" t="s">
        <v>2015</v>
      </c>
      <c r="F87">
        <v>25</v>
      </c>
      <c r="G87">
        <v>2</v>
      </c>
      <c r="H87">
        <v>263</v>
      </c>
      <c r="I87">
        <v>23</v>
      </c>
      <c r="J87">
        <v>54</v>
      </c>
      <c r="K87">
        <v>0.42599999999999999</v>
      </c>
      <c r="L87">
        <v>15</v>
      </c>
      <c r="M87">
        <v>39</v>
      </c>
      <c r="N87">
        <v>0.38500000000000001</v>
      </c>
      <c r="O87">
        <v>8</v>
      </c>
      <c r="P87">
        <v>15</v>
      </c>
      <c r="Q87">
        <v>0.53300000000000003</v>
      </c>
      <c r="R87">
        <v>0.56499999999999995</v>
      </c>
      <c r="S87">
        <v>4</v>
      </c>
      <c r="T87">
        <v>5</v>
      </c>
      <c r="U87">
        <v>0.8</v>
      </c>
      <c r="V87">
        <v>0</v>
      </c>
      <c r="W87">
        <v>40</v>
      </c>
      <c r="X87">
        <v>40</v>
      </c>
      <c r="Y87">
        <v>6</v>
      </c>
      <c r="Z87">
        <v>9</v>
      </c>
      <c r="AA87">
        <v>2</v>
      </c>
      <c r="AB87">
        <v>6</v>
      </c>
      <c r="AC87">
        <v>17</v>
      </c>
      <c r="AD87">
        <v>65</v>
      </c>
    </row>
    <row r="88" spans="1:30" x14ac:dyDescent="0.3">
      <c r="A88">
        <v>70</v>
      </c>
      <c r="B88" t="s">
        <v>2059</v>
      </c>
      <c r="C88" t="s">
        <v>1981</v>
      </c>
      <c r="D88">
        <v>23</v>
      </c>
      <c r="E88" t="s">
        <v>2017</v>
      </c>
      <c r="F88">
        <v>11</v>
      </c>
      <c r="G88">
        <v>0</v>
      </c>
      <c r="H88">
        <v>75</v>
      </c>
      <c r="I88">
        <v>1</v>
      </c>
      <c r="J88">
        <v>16</v>
      </c>
      <c r="K88">
        <v>6.3E-2</v>
      </c>
      <c r="L88">
        <v>0</v>
      </c>
      <c r="M88">
        <v>7</v>
      </c>
      <c r="N88">
        <v>0</v>
      </c>
      <c r="O88">
        <v>1</v>
      </c>
      <c r="P88">
        <v>9</v>
      </c>
      <c r="Q88">
        <v>0.111</v>
      </c>
      <c r="R88">
        <v>6.3E-2</v>
      </c>
      <c r="S88">
        <v>2</v>
      </c>
      <c r="T88">
        <v>4</v>
      </c>
      <c r="U88">
        <v>0.5</v>
      </c>
      <c r="V88">
        <v>1</v>
      </c>
      <c r="W88">
        <v>9</v>
      </c>
      <c r="X88">
        <v>10</v>
      </c>
      <c r="Y88">
        <v>2</v>
      </c>
      <c r="Z88">
        <v>1</v>
      </c>
      <c r="AA88">
        <v>2</v>
      </c>
      <c r="AB88">
        <v>2</v>
      </c>
      <c r="AC88">
        <v>2</v>
      </c>
      <c r="AD88">
        <v>4</v>
      </c>
    </row>
    <row r="89" spans="1:30" x14ac:dyDescent="0.3">
      <c r="A89">
        <v>71</v>
      </c>
      <c r="B89" t="s">
        <v>2060</v>
      </c>
      <c r="C89" t="s">
        <v>2004</v>
      </c>
      <c r="D89">
        <v>22</v>
      </c>
      <c r="E89" t="s">
        <v>2030</v>
      </c>
      <c r="F89">
        <v>76</v>
      </c>
      <c r="G89">
        <v>43</v>
      </c>
      <c r="H89">
        <v>2288</v>
      </c>
      <c r="I89">
        <v>370</v>
      </c>
      <c r="J89">
        <v>1005</v>
      </c>
      <c r="K89">
        <v>0.36799999999999999</v>
      </c>
      <c r="L89">
        <v>124</v>
      </c>
      <c r="M89">
        <v>390</v>
      </c>
      <c r="N89">
        <v>0.318</v>
      </c>
      <c r="O89">
        <v>246</v>
      </c>
      <c r="P89">
        <v>615</v>
      </c>
      <c r="Q89">
        <v>0.4</v>
      </c>
      <c r="R89">
        <v>0.43</v>
      </c>
      <c r="S89">
        <v>109</v>
      </c>
      <c r="T89">
        <v>145</v>
      </c>
      <c r="U89">
        <v>0.752</v>
      </c>
      <c r="V89">
        <v>31</v>
      </c>
      <c r="W89">
        <v>173</v>
      </c>
      <c r="X89">
        <v>204</v>
      </c>
      <c r="Y89">
        <v>328</v>
      </c>
      <c r="Z89">
        <v>65</v>
      </c>
      <c r="AA89">
        <v>15</v>
      </c>
      <c r="AB89">
        <v>124</v>
      </c>
      <c r="AC89">
        <v>119</v>
      </c>
      <c r="AD89">
        <v>973</v>
      </c>
    </row>
    <row r="90" spans="1:30" x14ac:dyDescent="0.3">
      <c r="A90">
        <v>72</v>
      </c>
      <c r="B90" t="s">
        <v>2061</v>
      </c>
      <c r="C90" t="s">
        <v>1961</v>
      </c>
      <c r="D90">
        <v>23</v>
      </c>
      <c r="E90" t="s">
        <v>2030</v>
      </c>
      <c r="F90">
        <v>27</v>
      </c>
      <c r="G90">
        <v>27</v>
      </c>
      <c r="H90">
        <v>899</v>
      </c>
      <c r="I90">
        <v>121</v>
      </c>
      <c r="J90">
        <v>300</v>
      </c>
      <c r="K90">
        <v>0.40300000000000002</v>
      </c>
      <c r="L90">
        <v>26</v>
      </c>
      <c r="M90">
        <v>68</v>
      </c>
      <c r="N90">
        <v>0.38200000000000001</v>
      </c>
      <c r="O90">
        <v>95</v>
      </c>
      <c r="P90">
        <v>232</v>
      </c>
      <c r="Q90">
        <v>0.40899999999999997</v>
      </c>
      <c r="R90">
        <v>0.44700000000000001</v>
      </c>
      <c r="S90">
        <v>106</v>
      </c>
      <c r="T90">
        <v>129</v>
      </c>
      <c r="U90">
        <v>0.82199999999999995</v>
      </c>
      <c r="V90">
        <v>19</v>
      </c>
      <c r="W90">
        <v>95</v>
      </c>
      <c r="X90">
        <v>114</v>
      </c>
      <c r="Y90">
        <v>82</v>
      </c>
      <c r="Z90">
        <v>17</v>
      </c>
      <c r="AA90">
        <v>5</v>
      </c>
      <c r="AB90">
        <v>52</v>
      </c>
      <c r="AC90">
        <v>64</v>
      </c>
      <c r="AD90">
        <v>374</v>
      </c>
    </row>
    <row r="91" spans="1:30" x14ac:dyDescent="0.3">
      <c r="A91">
        <v>73</v>
      </c>
      <c r="B91" t="s">
        <v>2062</v>
      </c>
      <c r="C91" t="s">
        <v>1981</v>
      </c>
      <c r="D91">
        <v>34</v>
      </c>
      <c r="E91" t="s">
        <v>1996</v>
      </c>
      <c r="F91">
        <v>78</v>
      </c>
      <c r="G91">
        <v>21</v>
      </c>
      <c r="H91">
        <v>1623</v>
      </c>
      <c r="I91">
        <v>161</v>
      </c>
      <c r="J91">
        <v>396</v>
      </c>
      <c r="K91">
        <v>0.40699999999999997</v>
      </c>
      <c r="L91">
        <v>83</v>
      </c>
      <c r="M91">
        <v>219</v>
      </c>
      <c r="N91">
        <v>0.379</v>
      </c>
      <c r="O91">
        <v>78</v>
      </c>
      <c r="P91">
        <v>177</v>
      </c>
      <c r="Q91">
        <v>0.441</v>
      </c>
      <c r="R91">
        <v>0.51100000000000001</v>
      </c>
      <c r="S91">
        <v>55</v>
      </c>
      <c r="T91">
        <v>61</v>
      </c>
      <c r="U91">
        <v>0.90200000000000002</v>
      </c>
      <c r="V91">
        <v>21</v>
      </c>
      <c r="W91">
        <v>175</v>
      </c>
      <c r="X91">
        <v>196</v>
      </c>
      <c r="Y91">
        <v>79</v>
      </c>
      <c r="Z91">
        <v>43</v>
      </c>
      <c r="AA91">
        <v>4</v>
      </c>
      <c r="AB91">
        <v>49</v>
      </c>
      <c r="AC91">
        <v>120</v>
      </c>
      <c r="AD91">
        <v>460</v>
      </c>
    </row>
    <row r="92" spans="1:30" x14ac:dyDescent="0.3">
      <c r="A92">
        <v>74</v>
      </c>
      <c r="B92" t="s">
        <v>2063</v>
      </c>
      <c r="C92" t="s">
        <v>1961</v>
      </c>
      <c r="D92">
        <v>25</v>
      </c>
      <c r="E92" t="s">
        <v>2008</v>
      </c>
      <c r="F92">
        <v>65</v>
      </c>
      <c r="G92">
        <v>65</v>
      </c>
      <c r="H92">
        <v>2513</v>
      </c>
      <c r="I92">
        <v>421</v>
      </c>
      <c r="J92">
        <v>912</v>
      </c>
      <c r="K92">
        <v>0.46200000000000002</v>
      </c>
      <c r="L92">
        <v>73</v>
      </c>
      <c r="M92">
        <v>193</v>
      </c>
      <c r="N92">
        <v>0.378</v>
      </c>
      <c r="O92">
        <v>348</v>
      </c>
      <c r="P92">
        <v>719</v>
      </c>
      <c r="Q92">
        <v>0.48399999999999999</v>
      </c>
      <c r="R92">
        <v>0.502</v>
      </c>
      <c r="S92">
        <v>386</v>
      </c>
      <c r="T92">
        <v>463</v>
      </c>
      <c r="U92">
        <v>0.83399999999999996</v>
      </c>
      <c r="V92">
        <v>114</v>
      </c>
      <c r="W92">
        <v>265</v>
      </c>
      <c r="X92">
        <v>379</v>
      </c>
      <c r="Y92">
        <v>212</v>
      </c>
      <c r="Z92">
        <v>114</v>
      </c>
      <c r="AA92">
        <v>36</v>
      </c>
      <c r="AB92">
        <v>93</v>
      </c>
      <c r="AC92">
        <v>108</v>
      </c>
      <c r="AD92">
        <v>1301</v>
      </c>
    </row>
    <row r="93" spans="1:30" x14ac:dyDescent="0.3">
      <c r="A93">
        <v>75</v>
      </c>
      <c r="B93" t="s">
        <v>2064</v>
      </c>
      <c r="C93" t="s">
        <v>1981</v>
      </c>
      <c r="D93">
        <v>35</v>
      </c>
      <c r="E93" t="s">
        <v>2026</v>
      </c>
      <c r="F93">
        <v>75</v>
      </c>
      <c r="G93">
        <v>1</v>
      </c>
      <c r="H93">
        <v>1505</v>
      </c>
      <c r="I93">
        <v>218</v>
      </c>
      <c r="J93">
        <v>517</v>
      </c>
      <c r="K93">
        <v>0.42199999999999999</v>
      </c>
      <c r="L93">
        <v>91</v>
      </c>
      <c r="M93">
        <v>235</v>
      </c>
      <c r="N93">
        <v>0.38700000000000001</v>
      </c>
      <c r="O93">
        <v>127</v>
      </c>
      <c r="P93">
        <v>282</v>
      </c>
      <c r="Q93">
        <v>0.45</v>
      </c>
      <c r="R93">
        <v>0.51</v>
      </c>
      <c r="S93">
        <v>53</v>
      </c>
      <c r="T93">
        <v>67</v>
      </c>
      <c r="U93">
        <v>0.79100000000000004</v>
      </c>
      <c r="V93">
        <v>27</v>
      </c>
      <c r="W93">
        <v>170</v>
      </c>
      <c r="X93">
        <v>197</v>
      </c>
      <c r="Y93">
        <v>63</v>
      </c>
      <c r="Z93">
        <v>29</v>
      </c>
      <c r="AA93">
        <v>22</v>
      </c>
      <c r="AB93">
        <v>48</v>
      </c>
      <c r="AC93">
        <v>98</v>
      </c>
      <c r="AD93">
        <v>580</v>
      </c>
    </row>
    <row r="94" spans="1:30" x14ac:dyDescent="0.3">
      <c r="A94">
        <v>76</v>
      </c>
      <c r="B94" t="s">
        <v>2065</v>
      </c>
      <c r="C94" t="s">
        <v>2004</v>
      </c>
      <c r="D94">
        <v>25</v>
      </c>
      <c r="E94" t="s">
        <v>2038</v>
      </c>
      <c r="F94">
        <v>6</v>
      </c>
      <c r="G94">
        <v>0</v>
      </c>
      <c r="H94">
        <v>123</v>
      </c>
      <c r="I94">
        <v>18</v>
      </c>
      <c r="J94">
        <v>40</v>
      </c>
      <c r="K94">
        <v>0.45</v>
      </c>
      <c r="L94">
        <v>7</v>
      </c>
      <c r="M94">
        <v>11</v>
      </c>
      <c r="N94">
        <v>0.63600000000000001</v>
      </c>
      <c r="O94">
        <v>11</v>
      </c>
      <c r="P94">
        <v>29</v>
      </c>
      <c r="Q94">
        <v>0.379</v>
      </c>
      <c r="R94">
        <v>0.53800000000000003</v>
      </c>
      <c r="S94">
        <v>9</v>
      </c>
      <c r="T94">
        <v>10</v>
      </c>
      <c r="U94">
        <v>0.9</v>
      </c>
      <c r="V94">
        <v>2</v>
      </c>
      <c r="W94">
        <v>10</v>
      </c>
      <c r="X94">
        <v>12</v>
      </c>
      <c r="Y94">
        <v>14</v>
      </c>
      <c r="Z94">
        <v>3</v>
      </c>
      <c r="AA94">
        <v>0</v>
      </c>
      <c r="AB94">
        <v>12</v>
      </c>
      <c r="AC94">
        <v>3</v>
      </c>
      <c r="AD94">
        <v>52</v>
      </c>
    </row>
    <row r="95" spans="1:30" x14ac:dyDescent="0.3">
      <c r="A95">
        <v>77</v>
      </c>
      <c r="B95" t="s">
        <v>2066</v>
      </c>
      <c r="C95" t="s">
        <v>1961</v>
      </c>
      <c r="D95">
        <v>32</v>
      </c>
      <c r="E95" t="s">
        <v>2026</v>
      </c>
      <c r="F95">
        <v>7</v>
      </c>
      <c r="G95">
        <v>0</v>
      </c>
      <c r="H95">
        <v>67</v>
      </c>
      <c r="I95">
        <v>10</v>
      </c>
      <c r="J95">
        <v>31</v>
      </c>
      <c r="K95">
        <v>0.32300000000000001</v>
      </c>
      <c r="L95">
        <v>0</v>
      </c>
      <c r="M95">
        <v>9</v>
      </c>
      <c r="N95">
        <v>0</v>
      </c>
      <c r="O95">
        <v>10</v>
      </c>
      <c r="P95">
        <v>22</v>
      </c>
      <c r="Q95">
        <v>0.45500000000000002</v>
      </c>
      <c r="R95">
        <v>0.32300000000000001</v>
      </c>
      <c r="S95">
        <v>2</v>
      </c>
      <c r="T95">
        <v>4</v>
      </c>
      <c r="U95">
        <v>0.5</v>
      </c>
      <c r="V95">
        <v>2</v>
      </c>
      <c r="W95">
        <v>4</v>
      </c>
      <c r="X95">
        <v>6</v>
      </c>
      <c r="Y95">
        <v>18</v>
      </c>
      <c r="Z95">
        <v>1</v>
      </c>
      <c r="AA95">
        <v>1</v>
      </c>
      <c r="AB95">
        <v>8</v>
      </c>
      <c r="AC95">
        <v>9</v>
      </c>
      <c r="AD95">
        <v>22</v>
      </c>
    </row>
    <row r="96" spans="1:30" x14ac:dyDescent="0.3">
      <c r="A96">
        <v>78</v>
      </c>
      <c r="B96" t="s">
        <v>2067</v>
      </c>
      <c r="C96" t="s">
        <v>1981</v>
      </c>
      <c r="D96">
        <v>19</v>
      </c>
      <c r="E96" t="s">
        <v>2068</v>
      </c>
      <c r="F96">
        <v>8</v>
      </c>
      <c r="G96">
        <v>0</v>
      </c>
      <c r="H96">
        <v>23</v>
      </c>
      <c r="I96">
        <v>4</v>
      </c>
      <c r="J96">
        <v>12</v>
      </c>
      <c r="K96">
        <v>0.33300000000000002</v>
      </c>
      <c r="L96">
        <v>2</v>
      </c>
      <c r="M96">
        <v>3</v>
      </c>
      <c r="N96">
        <v>0.66700000000000004</v>
      </c>
      <c r="O96">
        <v>2</v>
      </c>
      <c r="P96">
        <v>9</v>
      </c>
      <c r="Q96">
        <v>0.222</v>
      </c>
      <c r="R96">
        <v>0.41699999999999998</v>
      </c>
      <c r="S96">
        <v>0</v>
      </c>
      <c r="T96">
        <v>0</v>
      </c>
      <c r="V96">
        <v>1</v>
      </c>
      <c r="W96">
        <v>1</v>
      </c>
      <c r="X96">
        <v>2</v>
      </c>
      <c r="Y96">
        <v>0</v>
      </c>
      <c r="Z96">
        <v>0</v>
      </c>
      <c r="AA96">
        <v>1</v>
      </c>
      <c r="AB96">
        <v>4</v>
      </c>
      <c r="AC96">
        <v>3</v>
      </c>
      <c r="AD96">
        <v>10</v>
      </c>
    </row>
    <row r="97" spans="1:30" x14ac:dyDescent="0.3">
      <c r="A97">
        <v>79</v>
      </c>
      <c r="B97" t="s">
        <v>2069</v>
      </c>
      <c r="C97" t="s">
        <v>1961</v>
      </c>
      <c r="D97">
        <v>25</v>
      </c>
      <c r="E97" t="s">
        <v>1962</v>
      </c>
      <c r="F97">
        <v>58</v>
      </c>
      <c r="G97">
        <v>0</v>
      </c>
      <c r="H97">
        <v>838</v>
      </c>
      <c r="I97">
        <v>104</v>
      </c>
      <c r="J97">
        <v>247</v>
      </c>
      <c r="K97">
        <v>0.42099999999999999</v>
      </c>
      <c r="L97">
        <v>11</v>
      </c>
      <c r="M97">
        <v>43</v>
      </c>
      <c r="N97">
        <v>0.25600000000000001</v>
      </c>
      <c r="O97">
        <v>93</v>
      </c>
      <c r="P97">
        <v>204</v>
      </c>
      <c r="Q97">
        <v>0.45600000000000002</v>
      </c>
      <c r="R97">
        <v>0.443</v>
      </c>
      <c r="S97">
        <v>24</v>
      </c>
      <c r="T97">
        <v>45</v>
      </c>
      <c r="U97">
        <v>0.53300000000000003</v>
      </c>
      <c r="V97">
        <v>19</v>
      </c>
      <c r="W97">
        <v>87</v>
      </c>
      <c r="X97">
        <v>106</v>
      </c>
      <c r="Y97">
        <v>146</v>
      </c>
      <c r="Z97">
        <v>63</v>
      </c>
      <c r="AA97">
        <v>5</v>
      </c>
      <c r="AB97">
        <v>61</v>
      </c>
      <c r="AC97">
        <v>100</v>
      </c>
      <c r="AD97">
        <v>243</v>
      </c>
    </row>
    <row r="98" spans="1:30" x14ac:dyDescent="0.3">
      <c r="A98">
        <v>80</v>
      </c>
      <c r="B98" t="s">
        <v>2070</v>
      </c>
      <c r="C98" t="s">
        <v>2004</v>
      </c>
      <c r="D98">
        <v>33</v>
      </c>
      <c r="E98" t="s">
        <v>1959</v>
      </c>
      <c r="F98">
        <v>42</v>
      </c>
      <c r="G98">
        <v>42</v>
      </c>
      <c r="H98">
        <v>1270</v>
      </c>
      <c r="I98">
        <v>147</v>
      </c>
      <c r="J98">
        <v>354</v>
      </c>
      <c r="K98">
        <v>0.41499999999999998</v>
      </c>
      <c r="L98">
        <v>59</v>
      </c>
      <c r="M98">
        <v>142</v>
      </c>
      <c r="N98">
        <v>0.41499999999999998</v>
      </c>
      <c r="O98">
        <v>88</v>
      </c>
      <c r="P98">
        <v>212</v>
      </c>
      <c r="Q98">
        <v>0.41499999999999998</v>
      </c>
      <c r="R98">
        <v>0.499</v>
      </c>
      <c r="S98">
        <v>29</v>
      </c>
      <c r="T98">
        <v>32</v>
      </c>
      <c r="U98">
        <v>0.90600000000000003</v>
      </c>
      <c r="V98">
        <v>19</v>
      </c>
      <c r="W98">
        <v>105</v>
      </c>
      <c r="X98">
        <v>124</v>
      </c>
      <c r="Y98">
        <v>198</v>
      </c>
      <c r="Z98">
        <v>31</v>
      </c>
      <c r="AA98">
        <v>0</v>
      </c>
      <c r="AB98">
        <v>75</v>
      </c>
      <c r="AC98">
        <v>76</v>
      </c>
      <c r="AD98">
        <v>382</v>
      </c>
    </row>
    <row r="99" spans="1:30" x14ac:dyDescent="0.3">
      <c r="A99" t="s">
        <v>1929</v>
      </c>
      <c r="B99" t="s">
        <v>1930</v>
      </c>
      <c r="C99" t="s">
        <v>1931</v>
      </c>
      <c r="D99" t="s">
        <v>198</v>
      </c>
      <c r="E99" t="s">
        <v>1932</v>
      </c>
      <c r="F99" t="s">
        <v>1933</v>
      </c>
      <c r="G99" t="s">
        <v>1934</v>
      </c>
      <c r="H99" t="s">
        <v>1935</v>
      </c>
      <c r="I99" t="s">
        <v>1936</v>
      </c>
      <c r="J99" t="s">
        <v>1937</v>
      </c>
      <c r="K99" t="s">
        <v>1938</v>
      </c>
      <c r="L99" t="s">
        <v>1939</v>
      </c>
      <c r="M99" t="s">
        <v>1940</v>
      </c>
      <c r="N99" t="s">
        <v>1941</v>
      </c>
      <c r="O99" t="s">
        <v>1942</v>
      </c>
      <c r="P99" t="s">
        <v>1943</v>
      </c>
      <c r="Q99" t="s">
        <v>1944</v>
      </c>
      <c r="R99" t="s">
        <v>1945</v>
      </c>
      <c r="S99" t="s">
        <v>1946</v>
      </c>
      <c r="T99" t="s">
        <v>1947</v>
      </c>
      <c r="U99" t="s">
        <v>1948</v>
      </c>
      <c r="V99" t="s">
        <v>1949</v>
      </c>
      <c r="W99" t="s">
        <v>1950</v>
      </c>
      <c r="X99" t="s">
        <v>1951</v>
      </c>
      <c r="Y99" t="s">
        <v>1952</v>
      </c>
      <c r="Z99" t="s">
        <v>1953</v>
      </c>
      <c r="AA99" t="s">
        <v>1954</v>
      </c>
      <c r="AB99" t="s">
        <v>1955</v>
      </c>
      <c r="AC99" t="s">
        <v>1956</v>
      </c>
      <c r="AD99" t="s">
        <v>1957</v>
      </c>
    </row>
    <row r="100" spans="1:30" x14ac:dyDescent="0.3">
      <c r="A100">
        <v>81</v>
      </c>
      <c r="B100" t="s">
        <v>2071</v>
      </c>
      <c r="C100" t="s">
        <v>1961</v>
      </c>
      <c r="D100">
        <v>21</v>
      </c>
      <c r="E100" t="s">
        <v>1996</v>
      </c>
      <c r="F100">
        <v>82</v>
      </c>
      <c r="G100">
        <v>82</v>
      </c>
      <c r="H100">
        <v>2587</v>
      </c>
      <c r="I100">
        <v>390</v>
      </c>
      <c r="J100">
        <v>972</v>
      </c>
      <c r="K100">
        <v>0.40100000000000002</v>
      </c>
      <c r="L100">
        <v>153</v>
      </c>
      <c r="M100">
        <v>444</v>
      </c>
      <c r="N100">
        <v>0.34499999999999997</v>
      </c>
      <c r="O100">
        <v>237</v>
      </c>
      <c r="P100">
        <v>528</v>
      </c>
      <c r="Q100">
        <v>0.44900000000000001</v>
      </c>
      <c r="R100">
        <v>0.48</v>
      </c>
      <c r="S100">
        <v>110</v>
      </c>
      <c r="T100">
        <v>158</v>
      </c>
      <c r="U100">
        <v>0.69599999999999995</v>
      </c>
      <c r="V100">
        <v>46</v>
      </c>
      <c r="W100">
        <v>209</v>
      </c>
      <c r="X100">
        <v>255</v>
      </c>
      <c r="Y100">
        <v>109</v>
      </c>
      <c r="Z100">
        <v>93</v>
      </c>
      <c r="AA100">
        <v>18</v>
      </c>
      <c r="AB100">
        <v>94</v>
      </c>
      <c r="AC100">
        <v>161</v>
      </c>
      <c r="AD100">
        <v>1043</v>
      </c>
    </row>
    <row r="101" spans="1:30" x14ac:dyDescent="0.3">
      <c r="A101">
        <v>82</v>
      </c>
      <c r="B101" t="s">
        <v>2072</v>
      </c>
      <c r="C101" t="s">
        <v>2004</v>
      </c>
      <c r="D101">
        <v>23</v>
      </c>
      <c r="E101" t="s">
        <v>1968</v>
      </c>
      <c r="F101">
        <v>47</v>
      </c>
      <c r="G101">
        <v>21</v>
      </c>
      <c r="H101">
        <v>938</v>
      </c>
      <c r="I101">
        <v>146</v>
      </c>
      <c r="J101">
        <v>378</v>
      </c>
      <c r="K101">
        <v>0.38600000000000001</v>
      </c>
      <c r="L101">
        <v>91</v>
      </c>
      <c r="M101">
        <v>246</v>
      </c>
      <c r="N101">
        <v>0.37</v>
      </c>
      <c r="O101">
        <v>55</v>
      </c>
      <c r="P101">
        <v>132</v>
      </c>
      <c r="Q101">
        <v>0.41699999999999998</v>
      </c>
      <c r="R101">
        <v>0.50700000000000001</v>
      </c>
      <c r="S101">
        <v>49</v>
      </c>
      <c r="T101">
        <v>60</v>
      </c>
      <c r="U101">
        <v>0.81699999999999995</v>
      </c>
      <c r="V101">
        <v>18</v>
      </c>
      <c r="W101">
        <v>69</v>
      </c>
      <c r="X101">
        <v>87</v>
      </c>
      <c r="Y101">
        <v>98</v>
      </c>
      <c r="Z101">
        <v>29</v>
      </c>
      <c r="AA101">
        <v>3</v>
      </c>
      <c r="AB101">
        <v>62</v>
      </c>
      <c r="AC101">
        <v>83</v>
      </c>
      <c r="AD101">
        <v>432</v>
      </c>
    </row>
    <row r="102" spans="1:30" x14ac:dyDescent="0.3">
      <c r="A102">
        <v>82</v>
      </c>
      <c r="B102" t="s">
        <v>2072</v>
      </c>
      <c r="C102" t="s">
        <v>2004</v>
      </c>
      <c r="D102">
        <v>23</v>
      </c>
      <c r="E102" t="s">
        <v>2000</v>
      </c>
      <c r="F102">
        <v>25</v>
      </c>
      <c r="G102">
        <v>9</v>
      </c>
      <c r="H102">
        <v>369</v>
      </c>
      <c r="I102">
        <v>53</v>
      </c>
      <c r="J102">
        <v>131</v>
      </c>
      <c r="K102">
        <v>0.40500000000000003</v>
      </c>
      <c r="L102">
        <v>32</v>
      </c>
      <c r="M102">
        <v>84</v>
      </c>
      <c r="N102">
        <v>0.38100000000000001</v>
      </c>
      <c r="O102">
        <v>21</v>
      </c>
      <c r="P102">
        <v>47</v>
      </c>
      <c r="Q102">
        <v>0.44700000000000001</v>
      </c>
      <c r="R102">
        <v>0.52700000000000002</v>
      </c>
      <c r="S102">
        <v>16</v>
      </c>
      <c r="T102">
        <v>21</v>
      </c>
      <c r="U102">
        <v>0.76200000000000001</v>
      </c>
      <c r="V102">
        <v>11</v>
      </c>
      <c r="W102">
        <v>22</v>
      </c>
      <c r="X102">
        <v>33</v>
      </c>
      <c r="Y102">
        <v>29</v>
      </c>
      <c r="Z102">
        <v>14</v>
      </c>
      <c r="AA102">
        <v>0</v>
      </c>
      <c r="AB102">
        <v>23</v>
      </c>
      <c r="AC102">
        <v>28</v>
      </c>
      <c r="AD102">
        <v>154</v>
      </c>
    </row>
    <row r="103" spans="1:30" x14ac:dyDescent="0.3">
      <c r="A103">
        <v>82</v>
      </c>
      <c r="B103" t="s">
        <v>2072</v>
      </c>
      <c r="C103" t="s">
        <v>2004</v>
      </c>
      <c r="D103">
        <v>23</v>
      </c>
      <c r="E103" t="s">
        <v>1974</v>
      </c>
      <c r="F103">
        <v>22</v>
      </c>
      <c r="G103">
        <v>12</v>
      </c>
      <c r="H103">
        <v>569</v>
      </c>
      <c r="I103">
        <v>93</v>
      </c>
      <c r="J103">
        <v>247</v>
      </c>
      <c r="K103">
        <v>0.377</v>
      </c>
      <c r="L103">
        <v>59</v>
      </c>
      <c r="M103">
        <v>162</v>
      </c>
      <c r="N103">
        <v>0.36399999999999999</v>
      </c>
      <c r="O103">
        <v>34</v>
      </c>
      <c r="P103">
        <v>85</v>
      </c>
      <c r="Q103">
        <v>0.4</v>
      </c>
      <c r="R103">
        <v>0.496</v>
      </c>
      <c r="S103">
        <v>33</v>
      </c>
      <c r="T103">
        <v>39</v>
      </c>
      <c r="U103">
        <v>0.84599999999999997</v>
      </c>
      <c r="V103">
        <v>7</v>
      </c>
      <c r="W103">
        <v>47</v>
      </c>
      <c r="X103">
        <v>54</v>
      </c>
      <c r="Y103">
        <v>69</v>
      </c>
      <c r="Z103">
        <v>15</v>
      </c>
      <c r="AA103">
        <v>3</v>
      </c>
      <c r="AB103">
        <v>39</v>
      </c>
      <c r="AC103">
        <v>55</v>
      </c>
      <c r="AD103">
        <v>278</v>
      </c>
    </row>
    <row r="104" spans="1:30" x14ac:dyDescent="0.3">
      <c r="A104">
        <v>83</v>
      </c>
      <c r="B104" t="s">
        <v>2073</v>
      </c>
      <c r="C104" t="s">
        <v>213</v>
      </c>
      <c r="D104">
        <v>20</v>
      </c>
      <c r="E104" t="s">
        <v>2000</v>
      </c>
      <c r="F104">
        <v>12</v>
      </c>
      <c r="G104">
        <v>0</v>
      </c>
      <c r="H104">
        <v>90</v>
      </c>
      <c r="I104">
        <v>14</v>
      </c>
      <c r="J104">
        <v>29</v>
      </c>
      <c r="K104">
        <v>0.48299999999999998</v>
      </c>
      <c r="L104">
        <v>0</v>
      </c>
      <c r="M104">
        <v>0</v>
      </c>
      <c r="O104">
        <v>14</v>
      </c>
      <c r="P104">
        <v>29</v>
      </c>
      <c r="Q104">
        <v>0.48299999999999998</v>
      </c>
      <c r="R104">
        <v>0.48299999999999998</v>
      </c>
      <c r="S104">
        <v>4</v>
      </c>
      <c r="T104">
        <v>23</v>
      </c>
      <c r="U104">
        <v>0.17399999999999999</v>
      </c>
      <c r="V104">
        <v>10</v>
      </c>
      <c r="W104">
        <v>26</v>
      </c>
      <c r="X104">
        <v>36</v>
      </c>
      <c r="Y104">
        <v>2</v>
      </c>
      <c r="Z104">
        <v>1</v>
      </c>
      <c r="AA104">
        <v>9</v>
      </c>
      <c r="AB104">
        <v>5</v>
      </c>
      <c r="AC104">
        <v>14</v>
      </c>
      <c r="AD104">
        <v>32</v>
      </c>
    </row>
    <row r="105" spans="1:30" x14ac:dyDescent="0.3">
      <c r="A105">
        <v>84</v>
      </c>
      <c r="B105" t="s">
        <v>2074</v>
      </c>
      <c r="C105" t="s">
        <v>1981</v>
      </c>
      <c r="D105">
        <v>28</v>
      </c>
      <c r="E105" t="s">
        <v>1998</v>
      </c>
      <c r="F105">
        <v>70</v>
      </c>
      <c r="G105">
        <v>69</v>
      </c>
      <c r="H105">
        <v>2189</v>
      </c>
      <c r="I105">
        <v>318</v>
      </c>
      <c r="J105">
        <v>653</v>
      </c>
      <c r="K105">
        <v>0.48699999999999999</v>
      </c>
      <c r="L105">
        <v>120</v>
      </c>
      <c r="M105">
        <v>304</v>
      </c>
      <c r="N105">
        <v>0.39500000000000002</v>
      </c>
      <c r="O105">
        <v>198</v>
      </c>
      <c r="P105">
        <v>349</v>
      </c>
      <c r="Q105">
        <v>0.56699999999999995</v>
      </c>
      <c r="R105">
        <v>0.57899999999999996</v>
      </c>
      <c r="S105">
        <v>127</v>
      </c>
      <c r="T105">
        <v>181</v>
      </c>
      <c r="U105">
        <v>0.70199999999999996</v>
      </c>
      <c r="V105">
        <v>99</v>
      </c>
      <c r="W105">
        <v>273</v>
      </c>
      <c r="X105">
        <v>372</v>
      </c>
      <c r="Y105">
        <v>118</v>
      </c>
      <c r="Z105">
        <v>94</v>
      </c>
      <c r="AA105">
        <v>17</v>
      </c>
      <c r="AB105">
        <v>75</v>
      </c>
      <c r="AC105">
        <v>154</v>
      </c>
      <c r="AD105">
        <v>883</v>
      </c>
    </row>
    <row r="106" spans="1:30" x14ac:dyDescent="0.3">
      <c r="A106">
        <v>85</v>
      </c>
      <c r="B106" t="s">
        <v>2075</v>
      </c>
      <c r="C106" t="s">
        <v>1961</v>
      </c>
      <c r="D106">
        <v>38</v>
      </c>
      <c r="E106" t="s">
        <v>1962</v>
      </c>
      <c r="F106">
        <v>66</v>
      </c>
      <c r="G106">
        <v>1</v>
      </c>
      <c r="H106">
        <v>1091</v>
      </c>
      <c r="I106">
        <v>135</v>
      </c>
      <c r="J106">
        <v>406</v>
      </c>
      <c r="K106">
        <v>0.33300000000000002</v>
      </c>
      <c r="L106">
        <v>69</v>
      </c>
      <c r="M106">
        <v>232</v>
      </c>
      <c r="N106">
        <v>0.29699999999999999</v>
      </c>
      <c r="O106">
        <v>66</v>
      </c>
      <c r="P106">
        <v>174</v>
      </c>
      <c r="Q106">
        <v>0.379</v>
      </c>
      <c r="R106">
        <v>0.41699999999999998</v>
      </c>
      <c r="S106">
        <v>45</v>
      </c>
      <c r="T106">
        <v>57</v>
      </c>
      <c r="U106">
        <v>0.78900000000000003</v>
      </c>
      <c r="V106">
        <v>27</v>
      </c>
      <c r="W106">
        <v>106</v>
      </c>
      <c r="X106">
        <v>133</v>
      </c>
      <c r="Y106">
        <v>79</v>
      </c>
      <c r="Z106">
        <v>43</v>
      </c>
      <c r="AA106">
        <v>14</v>
      </c>
      <c r="AB106">
        <v>43</v>
      </c>
      <c r="AC106">
        <v>102</v>
      </c>
      <c r="AD106">
        <v>384</v>
      </c>
    </row>
    <row r="107" spans="1:30" x14ac:dyDescent="0.3">
      <c r="A107">
        <v>86</v>
      </c>
      <c r="B107" t="s">
        <v>2076</v>
      </c>
      <c r="C107" t="s">
        <v>2004</v>
      </c>
      <c r="D107">
        <v>23</v>
      </c>
      <c r="E107" t="s">
        <v>1968</v>
      </c>
      <c r="F107">
        <v>66</v>
      </c>
      <c r="G107">
        <v>63</v>
      </c>
      <c r="H107">
        <v>2149</v>
      </c>
      <c r="I107">
        <v>364</v>
      </c>
      <c r="J107">
        <v>919</v>
      </c>
      <c r="K107">
        <v>0.39600000000000002</v>
      </c>
      <c r="L107">
        <v>36</v>
      </c>
      <c r="M107">
        <v>153</v>
      </c>
      <c r="N107">
        <v>0.23499999999999999</v>
      </c>
      <c r="O107">
        <v>328</v>
      </c>
      <c r="P107">
        <v>766</v>
      </c>
      <c r="Q107">
        <v>0.42799999999999999</v>
      </c>
      <c r="R107">
        <v>0.41599999999999998</v>
      </c>
      <c r="S107">
        <v>202</v>
      </c>
      <c r="T107">
        <v>291</v>
      </c>
      <c r="U107">
        <v>0.69399999999999995</v>
      </c>
      <c r="V107">
        <v>64</v>
      </c>
      <c r="W107">
        <v>289</v>
      </c>
      <c r="X107">
        <v>353</v>
      </c>
      <c r="Y107">
        <v>442</v>
      </c>
      <c r="Z107">
        <v>111</v>
      </c>
      <c r="AA107">
        <v>30</v>
      </c>
      <c r="AB107">
        <v>253</v>
      </c>
      <c r="AC107">
        <v>167</v>
      </c>
      <c r="AD107">
        <v>966</v>
      </c>
    </row>
    <row r="108" spans="1:30" x14ac:dyDescent="0.3">
      <c r="A108">
        <v>86</v>
      </c>
      <c r="B108" t="s">
        <v>2076</v>
      </c>
      <c r="C108" t="s">
        <v>2004</v>
      </c>
      <c r="D108">
        <v>23</v>
      </c>
      <c r="E108" t="s">
        <v>1974</v>
      </c>
      <c r="F108">
        <v>41</v>
      </c>
      <c r="G108">
        <v>38</v>
      </c>
      <c r="H108">
        <v>1391</v>
      </c>
      <c r="I108">
        <v>232</v>
      </c>
      <c r="J108">
        <v>611</v>
      </c>
      <c r="K108">
        <v>0.38</v>
      </c>
      <c r="L108">
        <v>32</v>
      </c>
      <c r="M108">
        <v>125</v>
      </c>
      <c r="N108">
        <v>0.25600000000000001</v>
      </c>
      <c r="O108">
        <v>200</v>
      </c>
      <c r="P108">
        <v>486</v>
      </c>
      <c r="Q108">
        <v>0.41199999999999998</v>
      </c>
      <c r="R108">
        <v>0.40600000000000003</v>
      </c>
      <c r="S108">
        <v>117</v>
      </c>
      <c r="T108">
        <v>182</v>
      </c>
      <c r="U108">
        <v>0.64300000000000002</v>
      </c>
      <c r="V108">
        <v>43</v>
      </c>
      <c r="W108">
        <v>211</v>
      </c>
      <c r="X108">
        <v>254</v>
      </c>
      <c r="Y108">
        <v>302</v>
      </c>
      <c r="Z108">
        <v>60</v>
      </c>
      <c r="AA108">
        <v>18</v>
      </c>
      <c r="AB108">
        <v>174</v>
      </c>
      <c r="AC108">
        <v>103</v>
      </c>
      <c r="AD108">
        <v>613</v>
      </c>
    </row>
    <row r="109" spans="1:30" x14ac:dyDescent="0.3">
      <c r="A109">
        <v>86</v>
      </c>
      <c r="B109" t="s">
        <v>2076</v>
      </c>
      <c r="C109" t="s">
        <v>2004</v>
      </c>
      <c r="D109">
        <v>23</v>
      </c>
      <c r="E109" t="s">
        <v>1993</v>
      </c>
      <c r="F109">
        <v>25</v>
      </c>
      <c r="G109">
        <v>25</v>
      </c>
      <c r="H109">
        <v>758</v>
      </c>
      <c r="I109">
        <v>132</v>
      </c>
      <c r="J109">
        <v>308</v>
      </c>
      <c r="K109">
        <v>0.42899999999999999</v>
      </c>
      <c r="L109">
        <v>4</v>
      </c>
      <c r="M109">
        <v>28</v>
      </c>
      <c r="N109">
        <v>0.14299999999999999</v>
      </c>
      <c r="O109">
        <v>128</v>
      </c>
      <c r="P109">
        <v>280</v>
      </c>
      <c r="Q109">
        <v>0.45700000000000002</v>
      </c>
      <c r="R109">
        <v>0.435</v>
      </c>
      <c r="S109">
        <v>85</v>
      </c>
      <c r="T109">
        <v>109</v>
      </c>
      <c r="U109">
        <v>0.78</v>
      </c>
      <c r="V109">
        <v>21</v>
      </c>
      <c r="W109">
        <v>78</v>
      </c>
      <c r="X109">
        <v>99</v>
      </c>
      <c r="Y109">
        <v>140</v>
      </c>
      <c r="Z109">
        <v>51</v>
      </c>
      <c r="AA109">
        <v>12</v>
      </c>
      <c r="AB109">
        <v>79</v>
      </c>
      <c r="AC109">
        <v>64</v>
      </c>
      <c r="AD109">
        <v>353</v>
      </c>
    </row>
    <row r="110" spans="1:30" x14ac:dyDescent="0.3">
      <c r="A110">
        <v>87</v>
      </c>
      <c r="B110" t="s">
        <v>2077</v>
      </c>
      <c r="C110" t="s">
        <v>1981</v>
      </c>
      <c r="D110">
        <v>26</v>
      </c>
      <c r="E110" t="s">
        <v>2034</v>
      </c>
      <c r="F110">
        <v>67</v>
      </c>
      <c r="G110">
        <v>19</v>
      </c>
      <c r="H110">
        <v>1416</v>
      </c>
      <c r="I110">
        <v>209</v>
      </c>
      <c r="J110">
        <v>427</v>
      </c>
      <c r="K110">
        <v>0.48899999999999999</v>
      </c>
      <c r="L110">
        <v>35</v>
      </c>
      <c r="M110">
        <v>87</v>
      </c>
      <c r="N110">
        <v>0.40200000000000002</v>
      </c>
      <c r="O110">
        <v>174</v>
      </c>
      <c r="P110">
        <v>340</v>
      </c>
      <c r="Q110">
        <v>0.51200000000000001</v>
      </c>
      <c r="R110">
        <v>0.53</v>
      </c>
      <c r="S110">
        <v>140</v>
      </c>
      <c r="T110">
        <v>191</v>
      </c>
      <c r="U110">
        <v>0.73299999999999998</v>
      </c>
      <c r="V110">
        <v>54</v>
      </c>
      <c r="W110">
        <v>206</v>
      </c>
      <c r="X110">
        <v>260</v>
      </c>
      <c r="Y110">
        <v>102</v>
      </c>
      <c r="Z110">
        <v>31</v>
      </c>
      <c r="AA110">
        <v>9</v>
      </c>
      <c r="AB110">
        <v>88</v>
      </c>
      <c r="AC110">
        <v>107</v>
      </c>
      <c r="AD110">
        <v>593</v>
      </c>
    </row>
    <row r="111" spans="1:30" x14ac:dyDescent="0.3">
      <c r="A111">
        <v>88</v>
      </c>
      <c r="B111" t="s">
        <v>2078</v>
      </c>
      <c r="C111" t="s">
        <v>2004</v>
      </c>
      <c r="D111">
        <v>28</v>
      </c>
      <c r="E111" t="s">
        <v>1986</v>
      </c>
      <c r="F111">
        <v>80</v>
      </c>
      <c r="G111">
        <v>37</v>
      </c>
      <c r="H111">
        <v>2368</v>
      </c>
      <c r="I111">
        <v>267</v>
      </c>
      <c r="J111">
        <v>663</v>
      </c>
      <c r="K111">
        <v>0.40300000000000002</v>
      </c>
      <c r="L111">
        <v>73</v>
      </c>
      <c r="M111">
        <v>248</v>
      </c>
      <c r="N111">
        <v>0.29399999999999998</v>
      </c>
      <c r="O111">
        <v>194</v>
      </c>
      <c r="P111">
        <v>415</v>
      </c>
      <c r="Q111">
        <v>0.46700000000000003</v>
      </c>
      <c r="R111">
        <v>0.45800000000000002</v>
      </c>
      <c r="S111">
        <v>206</v>
      </c>
      <c r="T111">
        <v>266</v>
      </c>
      <c r="U111">
        <v>0.77400000000000002</v>
      </c>
      <c r="V111">
        <v>24</v>
      </c>
      <c r="W111">
        <v>182</v>
      </c>
      <c r="X111">
        <v>206</v>
      </c>
      <c r="Y111">
        <v>307</v>
      </c>
      <c r="Z111">
        <v>122</v>
      </c>
      <c r="AA111">
        <v>10</v>
      </c>
      <c r="AB111">
        <v>173</v>
      </c>
      <c r="AC111">
        <v>251</v>
      </c>
      <c r="AD111">
        <v>813</v>
      </c>
    </row>
    <row r="112" spans="1:30" x14ac:dyDescent="0.3">
      <c r="A112">
        <v>89</v>
      </c>
      <c r="B112" t="s">
        <v>2079</v>
      </c>
      <c r="C112" t="s">
        <v>213</v>
      </c>
      <c r="D112">
        <v>32</v>
      </c>
      <c r="E112" t="s">
        <v>1982</v>
      </c>
      <c r="F112">
        <v>75</v>
      </c>
      <c r="G112">
        <v>75</v>
      </c>
      <c r="H112">
        <v>2286</v>
      </c>
      <c r="I112">
        <v>293</v>
      </c>
      <c r="J112">
        <v>440</v>
      </c>
      <c r="K112">
        <v>0.66600000000000004</v>
      </c>
      <c r="L112">
        <v>0</v>
      </c>
      <c r="M112">
        <v>0</v>
      </c>
      <c r="O112">
        <v>293</v>
      </c>
      <c r="P112">
        <v>440</v>
      </c>
      <c r="Q112">
        <v>0.66600000000000004</v>
      </c>
      <c r="R112">
        <v>0.66600000000000004</v>
      </c>
      <c r="S112">
        <v>185</v>
      </c>
      <c r="T112">
        <v>257</v>
      </c>
      <c r="U112">
        <v>0.72</v>
      </c>
      <c r="V112">
        <v>294</v>
      </c>
      <c r="W112">
        <v>570</v>
      </c>
      <c r="X112">
        <v>864</v>
      </c>
      <c r="Y112">
        <v>84</v>
      </c>
      <c r="Z112">
        <v>42</v>
      </c>
      <c r="AA112">
        <v>91</v>
      </c>
      <c r="AB112">
        <v>105</v>
      </c>
      <c r="AC112">
        <v>169</v>
      </c>
      <c r="AD112">
        <v>771</v>
      </c>
    </row>
    <row r="113" spans="1:30" x14ac:dyDescent="0.3">
      <c r="A113">
        <v>90</v>
      </c>
      <c r="B113" t="s">
        <v>2080</v>
      </c>
      <c r="C113" t="s">
        <v>1981</v>
      </c>
      <c r="D113">
        <v>27</v>
      </c>
      <c r="E113" t="s">
        <v>1969</v>
      </c>
      <c r="F113">
        <v>78</v>
      </c>
      <c r="G113">
        <v>75</v>
      </c>
      <c r="H113">
        <v>2471</v>
      </c>
      <c r="I113">
        <v>418</v>
      </c>
      <c r="J113">
        <v>975</v>
      </c>
      <c r="K113">
        <v>0.42899999999999999</v>
      </c>
      <c r="L113">
        <v>139</v>
      </c>
      <c r="M113">
        <v>406</v>
      </c>
      <c r="N113">
        <v>0.34200000000000003</v>
      </c>
      <c r="O113">
        <v>279</v>
      </c>
      <c r="P113">
        <v>569</v>
      </c>
      <c r="Q113">
        <v>0.49</v>
      </c>
      <c r="R113">
        <v>0.5</v>
      </c>
      <c r="S113">
        <v>110</v>
      </c>
      <c r="T113">
        <v>142</v>
      </c>
      <c r="U113">
        <v>0.77500000000000002</v>
      </c>
      <c r="V113">
        <v>96</v>
      </c>
      <c r="W113">
        <v>379</v>
      </c>
      <c r="X113">
        <v>475</v>
      </c>
      <c r="Y113">
        <v>134</v>
      </c>
      <c r="Z113">
        <v>58</v>
      </c>
      <c r="AA113">
        <v>29</v>
      </c>
      <c r="AB113">
        <v>110</v>
      </c>
      <c r="AC113">
        <v>231</v>
      </c>
      <c r="AD113">
        <v>1085</v>
      </c>
    </row>
    <row r="114" spans="1:30" x14ac:dyDescent="0.3">
      <c r="A114">
        <v>91</v>
      </c>
      <c r="B114" t="s">
        <v>2081</v>
      </c>
      <c r="C114" t="s">
        <v>2004</v>
      </c>
      <c r="D114">
        <v>23</v>
      </c>
      <c r="E114" t="s">
        <v>1984</v>
      </c>
      <c r="F114">
        <v>8</v>
      </c>
      <c r="G114">
        <v>0</v>
      </c>
      <c r="H114">
        <v>69</v>
      </c>
      <c r="I114">
        <v>5</v>
      </c>
      <c r="J114">
        <v>19</v>
      </c>
      <c r="K114">
        <v>0.26300000000000001</v>
      </c>
      <c r="L114">
        <v>2</v>
      </c>
      <c r="M114">
        <v>9</v>
      </c>
      <c r="N114">
        <v>0.222</v>
      </c>
      <c r="O114">
        <v>3</v>
      </c>
      <c r="P114">
        <v>10</v>
      </c>
      <c r="Q114">
        <v>0.3</v>
      </c>
      <c r="R114">
        <v>0.316</v>
      </c>
      <c r="S114">
        <v>3</v>
      </c>
      <c r="T114">
        <v>6</v>
      </c>
      <c r="U114">
        <v>0.5</v>
      </c>
      <c r="V114">
        <v>1</v>
      </c>
      <c r="W114">
        <v>4</v>
      </c>
      <c r="X114">
        <v>5</v>
      </c>
      <c r="Y114">
        <v>8</v>
      </c>
      <c r="Z114">
        <v>6</v>
      </c>
      <c r="AA114">
        <v>1</v>
      </c>
      <c r="AB114">
        <v>4</v>
      </c>
      <c r="AC114">
        <v>10</v>
      </c>
      <c r="AD114">
        <v>15</v>
      </c>
    </row>
    <row r="115" spans="1:30" x14ac:dyDescent="0.3">
      <c r="A115">
        <v>92</v>
      </c>
      <c r="B115" t="s">
        <v>2082</v>
      </c>
      <c r="C115" t="s">
        <v>1961</v>
      </c>
      <c r="D115">
        <v>26</v>
      </c>
      <c r="E115" t="s">
        <v>2030</v>
      </c>
      <c r="F115">
        <v>4</v>
      </c>
      <c r="G115">
        <v>1</v>
      </c>
      <c r="H115">
        <v>29</v>
      </c>
      <c r="I115">
        <v>3</v>
      </c>
      <c r="J115">
        <v>12</v>
      </c>
      <c r="K115">
        <v>0.25</v>
      </c>
      <c r="L115">
        <v>0</v>
      </c>
      <c r="M115">
        <v>4</v>
      </c>
      <c r="N115">
        <v>0</v>
      </c>
      <c r="O115">
        <v>3</v>
      </c>
      <c r="P115">
        <v>8</v>
      </c>
      <c r="Q115">
        <v>0.375</v>
      </c>
      <c r="R115">
        <v>0.25</v>
      </c>
      <c r="S115">
        <v>0</v>
      </c>
      <c r="T115">
        <v>0</v>
      </c>
      <c r="V115">
        <v>2</v>
      </c>
      <c r="W115">
        <v>4</v>
      </c>
      <c r="X115">
        <v>6</v>
      </c>
      <c r="Y115">
        <v>0</v>
      </c>
      <c r="Z115">
        <v>1</v>
      </c>
      <c r="AA115">
        <v>0</v>
      </c>
      <c r="AB115">
        <v>1</v>
      </c>
      <c r="AC115">
        <v>6</v>
      </c>
      <c r="AD115">
        <v>6</v>
      </c>
    </row>
    <row r="116" spans="1:30" x14ac:dyDescent="0.3">
      <c r="A116">
        <v>93</v>
      </c>
      <c r="B116" t="s">
        <v>2083</v>
      </c>
      <c r="C116" t="s">
        <v>1956</v>
      </c>
      <c r="D116">
        <v>27</v>
      </c>
      <c r="E116" t="s">
        <v>1988</v>
      </c>
      <c r="F116">
        <v>10</v>
      </c>
      <c r="G116">
        <v>0</v>
      </c>
      <c r="H116">
        <v>93</v>
      </c>
      <c r="I116">
        <v>11</v>
      </c>
      <c r="J116">
        <v>30</v>
      </c>
      <c r="K116">
        <v>0.36699999999999999</v>
      </c>
      <c r="L116">
        <v>4</v>
      </c>
      <c r="M116">
        <v>14</v>
      </c>
      <c r="N116">
        <v>0.28599999999999998</v>
      </c>
      <c r="O116">
        <v>7</v>
      </c>
      <c r="P116">
        <v>16</v>
      </c>
      <c r="Q116">
        <v>0.438</v>
      </c>
      <c r="R116">
        <v>0.433</v>
      </c>
      <c r="S116">
        <v>1</v>
      </c>
      <c r="T116">
        <v>4</v>
      </c>
      <c r="U116">
        <v>0.25</v>
      </c>
      <c r="V116">
        <v>1</v>
      </c>
      <c r="W116">
        <v>22</v>
      </c>
      <c r="X116">
        <v>23</v>
      </c>
      <c r="Y116">
        <v>3</v>
      </c>
      <c r="Z116">
        <v>3</v>
      </c>
      <c r="AA116">
        <v>4</v>
      </c>
      <c r="AB116">
        <v>6</v>
      </c>
      <c r="AC116">
        <v>12</v>
      </c>
      <c r="AD116">
        <v>27</v>
      </c>
    </row>
    <row r="117" spans="1:30" x14ac:dyDescent="0.3">
      <c r="A117">
        <v>94</v>
      </c>
      <c r="B117" t="s">
        <v>2084</v>
      </c>
      <c r="C117" t="s">
        <v>1961</v>
      </c>
      <c r="D117">
        <v>23</v>
      </c>
      <c r="E117" t="s">
        <v>1968</v>
      </c>
      <c r="F117">
        <v>30</v>
      </c>
      <c r="G117">
        <v>0</v>
      </c>
      <c r="H117">
        <v>192</v>
      </c>
      <c r="I117">
        <v>19</v>
      </c>
      <c r="J117">
        <v>55</v>
      </c>
      <c r="K117">
        <v>0.34499999999999997</v>
      </c>
      <c r="L117">
        <v>10</v>
      </c>
      <c r="M117">
        <v>30</v>
      </c>
      <c r="N117">
        <v>0.33300000000000002</v>
      </c>
      <c r="O117">
        <v>9</v>
      </c>
      <c r="P117">
        <v>25</v>
      </c>
      <c r="Q117">
        <v>0.36</v>
      </c>
      <c r="R117">
        <v>0.436</v>
      </c>
      <c r="S117">
        <v>9</v>
      </c>
      <c r="T117">
        <v>9</v>
      </c>
      <c r="U117">
        <v>1</v>
      </c>
      <c r="V117">
        <v>4</v>
      </c>
      <c r="W117">
        <v>12</v>
      </c>
      <c r="X117">
        <v>16</v>
      </c>
      <c r="Y117">
        <v>12</v>
      </c>
      <c r="Z117">
        <v>9</v>
      </c>
      <c r="AA117">
        <v>3</v>
      </c>
      <c r="AB117">
        <v>9</v>
      </c>
      <c r="AC117">
        <v>20</v>
      </c>
      <c r="AD117">
        <v>57</v>
      </c>
    </row>
    <row r="118" spans="1:30" x14ac:dyDescent="0.3">
      <c r="A118">
        <v>94</v>
      </c>
      <c r="B118" t="s">
        <v>2084</v>
      </c>
      <c r="C118" t="s">
        <v>1961</v>
      </c>
      <c r="D118">
        <v>23</v>
      </c>
      <c r="E118" t="s">
        <v>2030</v>
      </c>
      <c r="F118">
        <v>23</v>
      </c>
      <c r="G118">
        <v>0</v>
      </c>
      <c r="H118">
        <v>161</v>
      </c>
      <c r="I118">
        <v>15</v>
      </c>
      <c r="J118">
        <v>44</v>
      </c>
      <c r="K118">
        <v>0.34100000000000003</v>
      </c>
      <c r="L118">
        <v>9</v>
      </c>
      <c r="M118">
        <v>25</v>
      </c>
      <c r="N118">
        <v>0.36</v>
      </c>
      <c r="O118">
        <v>6</v>
      </c>
      <c r="P118">
        <v>19</v>
      </c>
      <c r="Q118">
        <v>0.316</v>
      </c>
      <c r="R118">
        <v>0.443</v>
      </c>
      <c r="S118">
        <v>5</v>
      </c>
      <c r="T118">
        <v>5</v>
      </c>
      <c r="U118">
        <v>1</v>
      </c>
      <c r="V118">
        <v>4</v>
      </c>
      <c r="W118">
        <v>9</v>
      </c>
      <c r="X118">
        <v>13</v>
      </c>
      <c r="Y118">
        <v>10</v>
      </c>
      <c r="Z118">
        <v>6</v>
      </c>
      <c r="AA118">
        <v>2</v>
      </c>
      <c r="AB118">
        <v>7</v>
      </c>
      <c r="AC118">
        <v>12</v>
      </c>
      <c r="AD118">
        <v>44</v>
      </c>
    </row>
    <row r="119" spans="1:30" x14ac:dyDescent="0.3">
      <c r="A119">
        <v>94</v>
      </c>
      <c r="B119" t="s">
        <v>2084</v>
      </c>
      <c r="C119" t="s">
        <v>1961</v>
      </c>
      <c r="D119">
        <v>23</v>
      </c>
      <c r="E119" t="s">
        <v>1969</v>
      </c>
      <c r="F119">
        <v>7</v>
      </c>
      <c r="G119">
        <v>0</v>
      </c>
      <c r="H119">
        <v>31</v>
      </c>
      <c r="I119">
        <v>4</v>
      </c>
      <c r="J119">
        <v>11</v>
      </c>
      <c r="K119">
        <v>0.36399999999999999</v>
      </c>
      <c r="L119">
        <v>1</v>
      </c>
      <c r="M119">
        <v>5</v>
      </c>
      <c r="N119">
        <v>0.2</v>
      </c>
      <c r="O119">
        <v>3</v>
      </c>
      <c r="P119">
        <v>6</v>
      </c>
      <c r="Q119">
        <v>0.5</v>
      </c>
      <c r="R119">
        <v>0.40899999999999997</v>
      </c>
      <c r="S119">
        <v>4</v>
      </c>
      <c r="T119">
        <v>4</v>
      </c>
      <c r="U119">
        <v>1</v>
      </c>
      <c r="V119">
        <v>0</v>
      </c>
      <c r="W119">
        <v>3</v>
      </c>
      <c r="X119">
        <v>3</v>
      </c>
      <c r="Y119">
        <v>2</v>
      </c>
      <c r="Z119">
        <v>3</v>
      </c>
      <c r="AA119">
        <v>1</v>
      </c>
      <c r="AB119">
        <v>2</v>
      </c>
      <c r="AC119">
        <v>8</v>
      </c>
      <c r="AD119">
        <v>13</v>
      </c>
    </row>
    <row r="120" spans="1:30" x14ac:dyDescent="0.3">
      <c r="A120">
        <v>95</v>
      </c>
      <c r="B120" t="s">
        <v>2085</v>
      </c>
      <c r="C120" t="s">
        <v>2004</v>
      </c>
      <c r="D120">
        <v>22</v>
      </c>
      <c r="E120" t="s">
        <v>2038</v>
      </c>
      <c r="F120">
        <v>59</v>
      </c>
      <c r="G120">
        <v>38</v>
      </c>
      <c r="H120">
        <v>1476</v>
      </c>
      <c r="I120">
        <v>267</v>
      </c>
      <c r="J120">
        <v>596</v>
      </c>
      <c r="K120">
        <v>0.44800000000000001</v>
      </c>
      <c r="L120">
        <v>38</v>
      </c>
      <c r="M120">
        <v>121</v>
      </c>
      <c r="N120">
        <v>0.314</v>
      </c>
      <c r="O120">
        <v>229</v>
      </c>
      <c r="P120">
        <v>475</v>
      </c>
      <c r="Q120">
        <v>0.48199999999999998</v>
      </c>
      <c r="R120">
        <v>0.48</v>
      </c>
      <c r="S120">
        <v>131</v>
      </c>
      <c r="T120">
        <v>158</v>
      </c>
      <c r="U120">
        <v>0.82899999999999996</v>
      </c>
      <c r="V120">
        <v>56</v>
      </c>
      <c r="W120">
        <v>135</v>
      </c>
      <c r="X120">
        <v>191</v>
      </c>
      <c r="Y120">
        <v>206</v>
      </c>
      <c r="Z120">
        <v>51</v>
      </c>
      <c r="AA120">
        <v>12</v>
      </c>
      <c r="AB120">
        <v>96</v>
      </c>
      <c r="AC120">
        <v>109</v>
      </c>
      <c r="AD120">
        <v>703</v>
      </c>
    </row>
    <row r="121" spans="1:30" x14ac:dyDescent="0.3">
      <c r="A121">
        <v>96</v>
      </c>
      <c r="B121" t="s">
        <v>2086</v>
      </c>
      <c r="C121" t="s">
        <v>1981</v>
      </c>
      <c r="D121">
        <v>26</v>
      </c>
      <c r="E121" t="s">
        <v>1970</v>
      </c>
      <c r="F121">
        <v>10</v>
      </c>
      <c r="G121">
        <v>0</v>
      </c>
      <c r="H121">
        <v>76</v>
      </c>
      <c r="I121">
        <v>9</v>
      </c>
      <c r="J121">
        <v>20</v>
      </c>
      <c r="K121">
        <v>0.45</v>
      </c>
      <c r="L121">
        <v>6</v>
      </c>
      <c r="M121">
        <v>11</v>
      </c>
      <c r="N121">
        <v>0.54500000000000004</v>
      </c>
      <c r="O121">
        <v>3</v>
      </c>
      <c r="P121">
        <v>9</v>
      </c>
      <c r="Q121">
        <v>0.33300000000000002</v>
      </c>
      <c r="R121">
        <v>0.6</v>
      </c>
      <c r="S121">
        <v>0</v>
      </c>
      <c r="T121">
        <v>0</v>
      </c>
      <c r="V121">
        <v>3</v>
      </c>
      <c r="W121">
        <v>17</v>
      </c>
      <c r="X121">
        <v>20</v>
      </c>
      <c r="Y121">
        <v>1</v>
      </c>
      <c r="Z121">
        <v>1</v>
      </c>
      <c r="AA121">
        <v>1</v>
      </c>
      <c r="AB121">
        <v>4</v>
      </c>
      <c r="AC121">
        <v>12</v>
      </c>
      <c r="AD121">
        <v>24</v>
      </c>
    </row>
    <row r="122" spans="1:30" x14ac:dyDescent="0.3">
      <c r="A122">
        <v>97</v>
      </c>
      <c r="B122" t="s">
        <v>2087</v>
      </c>
      <c r="C122" t="s">
        <v>2004</v>
      </c>
      <c r="D122">
        <v>26</v>
      </c>
      <c r="E122" t="s">
        <v>1968</v>
      </c>
      <c r="F122">
        <v>75</v>
      </c>
      <c r="G122">
        <v>25</v>
      </c>
      <c r="H122">
        <v>1831</v>
      </c>
      <c r="I122">
        <v>230</v>
      </c>
      <c r="J122">
        <v>558</v>
      </c>
      <c r="K122">
        <v>0.41199999999999998</v>
      </c>
      <c r="L122">
        <v>55</v>
      </c>
      <c r="M122">
        <v>176</v>
      </c>
      <c r="N122">
        <v>0.313</v>
      </c>
      <c r="O122">
        <v>175</v>
      </c>
      <c r="P122">
        <v>382</v>
      </c>
      <c r="Q122">
        <v>0.45800000000000002</v>
      </c>
      <c r="R122">
        <v>0.46100000000000002</v>
      </c>
      <c r="S122">
        <v>58</v>
      </c>
      <c r="T122">
        <v>81</v>
      </c>
      <c r="U122">
        <v>0.71599999999999997</v>
      </c>
      <c r="V122">
        <v>13</v>
      </c>
      <c r="W122">
        <v>146</v>
      </c>
      <c r="X122">
        <v>159</v>
      </c>
      <c r="Y122">
        <v>255</v>
      </c>
      <c r="Z122">
        <v>57</v>
      </c>
      <c r="AA122">
        <v>15</v>
      </c>
      <c r="AB122">
        <v>99</v>
      </c>
      <c r="AC122">
        <v>124</v>
      </c>
      <c r="AD122">
        <v>573</v>
      </c>
    </row>
    <row r="123" spans="1:30" x14ac:dyDescent="0.3">
      <c r="A123">
        <v>97</v>
      </c>
      <c r="B123" t="s">
        <v>2087</v>
      </c>
      <c r="C123" t="s">
        <v>2004</v>
      </c>
      <c r="D123">
        <v>26</v>
      </c>
      <c r="E123" t="s">
        <v>1986</v>
      </c>
      <c r="F123">
        <v>47</v>
      </c>
      <c r="G123">
        <v>23</v>
      </c>
      <c r="H123">
        <v>1148</v>
      </c>
      <c r="I123">
        <v>118</v>
      </c>
      <c r="J123">
        <v>306</v>
      </c>
      <c r="K123">
        <v>0.38600000000000001</v>
      </c>
      <c r="L123">
        <v>27</v>
      </c>
      <c r="M123">
        <v>102</v>
      </c>
      <c r="N123">
        <v>0.26500000000000001</v>
      </c>
      <c r="O123">
        <v>91</v>
      </c>
      <c r="P123">
        <v>204</v>
      </c>
      <c r="Q123">
        <v>0.44600000000000001</v>
      </c>
      <c r="R123">
        <v>0.43</v>
      </c>
      <c r="S123">
        <v>32</v>
      </c>
      <c r="T123">
        <v>46</v>
      </c>
      <c r="U123">
        <v>0.69599999999999995</v>
      </c>
      <c r="V123">
        <v>12</v>
      </c>
      <c r="W123">
        <v>96</v>
      </c>
      <c r="X123">
        <v>108</v>
      </c>
      <c r="Y123">
        <v>165</v>
      </c>
      <c r="Z123">
        <v>42</v>
      </c>
      <c r="AA123">
        <v>8</v>
      </c>
      <c r="AB123">
        <v>58</v>
      </c>
      <c r="AC123">
        <v>75</v>
      </c>
      <c r="AD123">
        <v>295</v>
      </c>
    </row>
    <row r="124" spans="1:30" x14ac:dyDescent="0.3">
      <c r="A124">
        <v>97</v>
      </c>
      <c r="B124" t="s">
        <v>2087</v>
      </c>
      <c r="C124" t="s">
        <v>2004</v>
      </c>
      <c r="D124">
        <v>26</v>
      </c>
      <c r="E124" t="s">
        <v>1972</v>
      </c>
      <c r="F124">
        <v>28</v>
      </c>
      <c r="G124">
        <v>2</v>
      </c>
      <c r="H124">
        <v>683</v>
      </c>
      <c r="I124">
        <v>112</v>
      </c>
      <c r="J124">
        <v>252</v>
      </c>
      <c r="K124">
        <v>0.44400000000000001</v>
      </c>
      <c r="L124">
        <v>28</v>
      </c>
      <c r="M124">
        <v>74</v>
      </c>
      <c r="N124">
        <v>0.378</v>
      </c>
      <c r="O124">
        <v>84</v>
      </c>
      <c r="P124">
        <v>178</v>
      </c>
      <c r="Q124">
        <v>0.47199999999999998</v>
      </c>
      <c r="R124">
        <v>0.5</v>
      </c>
      <c r="S124">
        <v>26</v>
      </c>
      <c r="T124">
        <v>35</v>
      </c>
      <c r="U124">
        <v>0.74299999999999999</v>
      </c>
      <c r="V124">
        <v>1</v>
      </c>
      <c r="W124">
        <v>50</v>
      </c>
      <c r="X124">
        <v>51</v>
      </c>
      <c r="Y124">
        <v>90</v>
      </c>
      <c r="Z124">
        <v>15</v>
      </c>
      <c r="AA124">
        <v>7</v>
      </c>
      <c r="AB124">
        <v>41</v>
      </c>
      <c r="AC124">
        <v>49</v>
      </c>
      <c r="AD124">
        <v>278</v>
      </c>
    </row>
    <row r="125" spans="1:30" x14ac:dyDescent="0.3">
      <c r="A125">
        <v>98</v>
      </c>
      <c r="B125" t="s">
        <v>2088</v>
      </c>
      <c r="C125" t="s">
        <v>2004</v>
      </c>
      <c r="D125">
        <v>27</v>
      </c>
      <c r="E125" t="s">
        <v>2034</v>
      </c>
      <c r="F125">
        <v>45</v>
      </c>
      <c r="G125">
        <v>45</v>
      </c>
      <c r="H125">
        <v>1565</v>
      </c>
      <c r="I125">
        <v>260</v>
      </c>
      <c r="J125">
        <v>550</v>
      </c>
      <c r="K125">
        <v>0.47299999999999998</v>
      </c>
      <c r="L125">
        <v>60</v>
      </c>
      <c r="M125">
        <v>161</v>
      </c>
      <c r="N125">
        <v>0.373</v>
      </c>
      <c r="O125">
        <v>200</v>
      </c>
      <c r="P125">
        <v>389</v>
      </c>
      <c r="Q125">
        <v>0.51400000000000001</v>
      </c>
      <c r="R125">
        <v>0.52700000000000002</v>
      </c>
      <c r="S125">
        <v>145</v>
      </c>
      <c r="T125">
        <v>184</v>
      </c>
      <c r="U125">
        <v>0.78800000000000003</v>
      </c>
      <c r="V125">
        <v>19</v>
      </c>
      <c r="W125">
        <v>124</v>
      </c>
      <c r="X125">
        <v>143</v>
      </c>
      <c r="Y125">
        <v>252</v>
      </c>
      <c r="Z125">
        <v>67</v>
      </c>
      <c r="AA125">
        <v>14</v>
      </c>
      <c r="AB125">
        <v>112</v>
      </c>
      <c r="AC125">
        <v>95</v>
      </c>
      <c r="AD125">
        <v>725</v>
      </c>
    </row>
    <row r="126" spans="1:30" x14ac:dyDescent="0.3">
      <c r="A126">
        <v>99</v>
      </c>
      <c r="B126" t="s">
        <v>2089</v>
      </c>
      <c r="C126" t="s">
        <v>1956</v>
      </c>
      <c r="D126">
        <v>34</v>
      </c>
      <c r="E126" t="s">
        <v>1964</v>
      </c>
      <c r="F126">
        <v>66</v>
      </c>
      <c r="G126">
        <v>2</v>
      </c>
      <c r="H126">
        <v>1101</v>
      </c>
      <c r="I126">
        <v>106</v>
      </c>
      <c r="J126">
        <v>253</v>
      </c>
      <c r="K126">
        <v>0.41899999999999998</v>
      </c>
      <c r="L126">
        <v>16</v>
      </c>
      <c r="M126">
        <v>60</v>
      </c>
      <c r="N126">
        <v>0.26700000000000002</v>
      </c>
      <c r="O126">
        <v>90</v>
      </c>
      <c r="P126">
        <v>193</v>
      </c>
      <c r="Q126">
        <v>0.46600000000000003</v>
      </c>
      <c r="R126">
        <v>0.45100000000000001</v>
      </c>
      <c r="S126">
        <v>45</v>
      </c>
      <c r="T126">
        <v>65</v>
      </c>
      <c r="U126">
        <v>0.69199999999999995</v>
      </c>
      <c r="V126">
        <v>90</v>
      </c>
      <c r="W126">
        <v>160</v>
      </c>
      <c r="X126">
        <v>250</v>
      </c>
      <c r="Y126">
        <v>90</v>
      </c>
      <c r="Z126">
        <v>35</v>
      </c>
      <c r="AA126">
        <v>25</v>
      </c>
      <c r="AB126">
        <v>45</v>
      </c>
      <c r="AC126">
        <v>156</v>
      </c>
      <c r="AD126">
        <v>273</v>
      </c>
    </row>
    <row r="127" spans="1:30" x14ac:dyDescent="0.3">
      <c r="A127">
        <v>100</v>
      </c>
      <c r="B127" t="s">
        <v>2090</v>
      </c>
      <c r="C127" t="s">
        <v>2004</v>
      </c>
      <c r="D127">
        <v>27</v>
      </c>
      <c r="E127" t="s">
        <v>1962</v>
      </c>
      <c r="F127">
        <v>70</v>
      </c>
      <c r="G127">
        <v>70</v>
      </c>
      <c r="H127">
        <v>2225</v>
      </c>
      <c r="I127">
        <v>393</v>
      </c>
      <c r="J127">
        <v>882</v>
      </c>
      <c r="K127">
        <v>0.44600000000000001</v>
      </c>
      <c r="L127">
        <v>107</v>
      </c>
      <c r="M127">
        <v>277</v>
      </c>
      <c r="N127">
        <v>0.38600000000000001</v>
      </c>
      <c r="O127">
        <v>286</v>
      </c>
      <c r="P127">
        <v>605</v>
      </c>
      <c r="Q127">
        <v>0.47299999999999998</v>
      </c>
      <c r="R127">
        <v>0.50600000000000001</v>
      </c>
      <c r="S127">
        <v>214</v>
      </c>
      <c r="T127">
        <v>249</v>
      </c>
      <c r="U127">
        <v>0.85899999999999999</v>
      </c>
      <c r="V127">
        <v>29</v>
      </c>
      <c r="W127">
        <v>180</v>
      </c>
      <c r="X127">
        <v>209</v>
      </c>
      <c r="Y127">
        <v>375</v>
      </c>
      <c r="Z127">
        <v>89</v>
      </c>
      <c r="AA127">
        <v>14</v>
      </c>
      <c r="AB127">
        <v>156</v>
      </c>
      <c r="AC127">
        <v>139</v>
      </c>
      <c r="AD127">
        <v>1107</v>
      </c>
    </row>
    <row r="128" spans="1:30" x14ac:dyDescent="0.3">
      <c r="A128" t="s">
        <v>1929</v>
      </c>
      <c r="B128" t="s">
        <v>1930</v>
      </c>
      <c r="C128" t="s">
        <v>1931</v>
      </c>
      <c r="D128" t="s">
        <v>198</v>
      </c>
      <c r="E128" t="s">
        <v>1932</v>
      </c>
      <c r="F128" t="s">
        <v>1933</v>
      </c>
      <c r="G128" t="s">
        <v>1934</v>
      </c>
      <c r="H128" t="s">
        <v>1935</v>
      </c>
      <c r="I128" t="s">
        <v>1936</v>
      </c>
      <c r="J128" t="s">
        <v>1937</v>
      </c>
      <c r="K128" t="s">
        <v>1938</v>
      </c>
      <c r="L128" t="s">
        <v>1939</v>
      </c>
      <c r="M128" t="s">
        <v>1940</v>
      </c>
      <c r="N128" t="s">
        <v>1941</v>
      </c>
      <c r="O128" t="s">
        <v>1942</v>
      </c>
      <c r="P128" t="s">
        <v>1943</v>
      </c>
      <c r="Q128" t="s">
        <v>1944</v>
      </c>
      <c r="R128" t="s">
        <v>1945</v>
      </c>
      <c r="S128" t="s">
        <v>1946</v>
      </c>
      <c r="T128" t="s">
        <v>1947</v>
      </c>
      <c r="U128" t="s">
        <v>1948</v>
      </c>
      <c r="V128" t="s">
        <v>1949</v>
      </c>
      <c r="W128" t="s">
        <v>1950</v>
      </c>
      <c r="X128" t="s">
        <v>1951</v>
      </c>
      <c r="Y128" t="s">
        <v>1952</v>
      </c>
      <c r="Z128" t="s">
        <v>1953</v>
      </c>
      <c r="AA128" t="s">
        <v>1954</v>
      </c>
      <c r="AB128" t="s">
        <v>1955</v>
      </c>
      <c r="AC128" t="s">
        <v>1956</v>
      </c>
      <c r="AD128" t="s">
        <v>1957</v>
      </c>
    </row>
    <row r="129" spans="1:30" x14ac:dyDescent="0.3">
      <c r="A129">
        <v>101</v>
      </c>
      <c r="B129" t="s">
        <v>2091</v>
      </c>
      <c r="C129" t="s">
        <v>213</v>
      </c>
      <c r="D129">
        <v>23</v>
      </c>
      <c r="E129" t="s">
        <v>2030</v>
      </c>
      <c r="F129">
        <v>16</v>
      </c>
      <c r="G129">
        <v>0</v>
      </c>
      <c r="H129">
        <v>87</v>
      </c>
      <c r="I129">
        <v>9</v>
      </c>
      <c r="J129">
        <v>22</v>
      </c>
      <c r="K129">
        <v>0.40899999999999997</v>
      </c>
      <c r="L129">
        <v>0</v>
      </c>
      <c r="M129">
        <v>0</v>
      </c>
      <c r="O129">
        <v>9</v>
      </c>
      <c r="P129">
        <v>22</v>
      </c>
      <c r="Q129">
        <v>0.40899999999999997</v>
      </c>
      <c r="R129">
        <v>0.40899999999999997</v>
      </c>
      <c r="S129">
        <v>9</v>
      </c>
      <c r="T129">
        <v>21</v>
      </c>
      <c r="U129">
        <v>0.42899999999999999</v>
      </c>
      <c r="V129">
        <v>10</v>
      </c>
      <c r="W129">
        <v>15</v>
      </c>
      <c r="X129">
        <v>25</v>
      </c>
      <c r="Y129">
        <v>1</v>
      </c>
      <c r="Z129">
        <v>6</v>
      </c>
      <c r="AA129">
        <v>3</v>
      </c>
      <c r="AB129">
        <v>3</v>
      </c>
      <c r="AC129">
        <v>23</v>
      </c>
      <c r="AD129">
        <v>27</v>
      </c>
    </row>
    <row r="130" spans="1:30" x14ac:dyDescent="0.3">
      <c r="A130">
        <v>102</v>
      </c>
      <c r="B130" t="s">
        <v>2092</v>
      </c>
      <c r="C130" t="s">
        <v>1981</v>
      </c>
      <c r="D130">
        <v>30</v>
      </c>
      <c r="E130" t="s">
        <v>1978</v>
      </c>
      <c r="F130">
        <v>50</v>
      </c>
      <c r="G130">
        <v>12</v>
      </c>
      <c r="H130">
        <v>828</v>
      </c>
      <c r="I130">
        <v>112</v>
      </c>
      <c r="J130">
        <v>310</v>
      </c>
      <c r="K130">
        <v>0.36099999999999999</v>
      </c>
      <c r="L130">
        <v>52</v>
      </c>
      <c r="M130">
        <v>167</v>
      </c>
      <c r="N130">
        <v>0.311</v>
      </c>
      <c r="O130">
        <v>60</v>
      </c>
      <c r="P130">
        <v>143</v>
      </c>
      <c r="Q130">
        <v>0.42</v>
      </c>
      <c r="R130">
        <v>0.44500000000000001</v>
      </c>
      <c r="S130">
        <v>33</v>
      </c>
      <c r="T130">
        <v>45</v>
      </c>
      <c r="U130">
        <v>0.73299999999999998</v>
      </c>
      <c r="V130">
        <v>23</v>
      </c>
      <c r="W130">
        <v>88</v>
      </c>
      <c r="X130">
        <v>111</v>
      </c>
      <c r="Y130">
        <v>51</v>
      </c>
      <c r="Z130">
        <v>11</v>
      </c>
      <c r="AA130">
        <v>11</v>
      </c>
      <c r="AB130">
        <v>59</v>
      </c>
      <c r="AC130">
        <v>78</v>
      </c>
      <c r="AD130">
        <v>309</v>
      </c>
    </row>
    <row r="131" spans="1:30" x14ac:dyDescent="0.3">
      <c r="A131">
        <v>103</v>
      </c>
      <c r="B131" t="s">
        <v>2093</v>
      </c>
      <c r="C131" t="s">
        <v>2004</v>
      </c>
      <c r="D131">
        <v>22</v>
      </c>
      <c r="E131" t="s">
        <v>2030</v>
      </c>
      <c r="F131">
        <v>15</v>
      </c>
      <c r="G131">
        <v>0</v>
      </c>
      <c r="H131">
        <v>159</v>
      </c>
      <c r="I131">
        <v>29</v>
      </c>
      <c r="J131">
        <v>69</v>
      </c>
      <c r="K131">
        <v>0.42</v>
      </c>
      <c r="L131">
        <v>7</v>
      </c>
      <c r="M131">
        <v>20</v>
      </c>
      <c r="N131">
        <v>0.35</v>
      </c>
      <c r="O131">
        <v>22</v>
      </c>
      <c r="P131">
        <v>49</v>
      </c>
      <c r="Q131">
        <v>0.44900000000000001</v>
      </c>
      <c r="R131">
        <v>0.47099999999999997</v>
      </c>
      <c r="S131">
        <v>15</v>
      </c>
      <c r="T131">
        <v>18</v>
      </c>
      <c r="U131">
        <v>0.83299999999999996</v>
      </c>
      <c r="V131">
        <v>3</v>
      </c>
      <c r="W131">
        <v>15</v>
      </c>
      <c r="X131">
        <v>18</v>
      </c>
      <c r="Y131">
        <v>15</v>
      </c>
      <c r="Z131">
        <v>4</v>
      </c>
      <c r="AA131">
        <v>0</v>
      </c>
      <c r="AB131">
        <v>12</v>
      </c>
      <c r="AC131">
        <v>6</v>
      </c>
      <c r="AD131">
        <v>80</v>
      </c>
    </row>
    <row r="132" spans="1:30" x14ac:dyDescent="0.3">
      <c r="A132">
        <v>104</v>
      </c>
      <c r="B132" t="s">
        <v>2094</v>
      </c>
      <c r="C132" t="s">
        <v>213</v>
      </c>
      <c r="D132">
        <v>24</v>
      </c>
      <c r="E132" t="s">
        <v>2034</v>
      </c>
      <c r="F132">
        <v>59</v>
      </c>
      <c r="G132">
        <v>59</v>
      </c>
      <c r="H132">
        <v>2013</v>
      </c>
      <c r="I132">
        <v>498</v>
      </c>
      <c r="J132">
        <v>1066</v>
      </c>
      <c r="K132">
        <v>0.46700000000000003</v>
      </c>
      <c r="L132">
        <v>2</v>
      </c>
      <c r="M132">
        <v>8</v>
      </c>
      <c r="N132">
        <v>0.25</v>
      </c>
      <c r="O132">
        <v>496</v>
      </c>
      <c r="P132">
        <v>1058</v>
      </c>
      <c r="Q132">
        <v>0.46899999999999997</v>
      </c>
      <c r="R132">
        <v>0.46800000000000003</v>
      </c>
      <c r="S132">
        <v>423</v>
      </c>
      <c r="T132">
        <v>541</v>
      </c>
      <c r="U132">
        <v>0.78200000000000003</v>
      </c>
      <c r="V132">
        <v>185</v>
      </c>
      <c r="W132">
        <v>562</v>
      </c>
      <c r="X132">
        <v>747</v>
      </c>
      <c r="Y132">
        <v>210</v>
      </c>
      <c r="Z132">
        <v>90</v>
      </c>
      <c r="AA132">
        <v>103</v>
      </c>
      <c r="AB132">
        <v>254</v>
      </c>
      <c r="AC132">
        <v>241</v>
      </c>
      <c r="AD132">
        <v>1421</v>
      </c>
    </row>
    <row r="133" spans="1:30" x14ac:dyDescent="0.3">
      <c r="A133">
        <v>105</v>
      </c>
      <c r="B133" t="s">
        <v>2095</v>
      </c>
      <c r="C133" t="s">
        <v>1981</v>
      </c>
      <c r="D133">
        <v>24</v>
      </c>
      <c r="E133" t="s">
        <v>1974</v>
      </c>
      <c r="F133">
        <v>70</v>
      </c>
      <c r="G133">
        <v>49</v>
      </c>
      <c r="H133">
        <v>1956</v>
      </c>
      <c r="I133">
        <v>299</v>
      </c>
      <c r="J133">
        <v>756</v>
      </c>
      <c r="K133">
        <v>0.39600000000000002</v>
      </c>
      <c r="L133">
        <v>167</v>
      </c>
      <c r="M133">
        <v>446</v>
      </c>
      <c r="N133">
        <v>0.374</v>
      </c>
      <c r="O133">
        <v>132</v>
      </c>
      <c r="P133">
        <v>310</v>
      </c>
      <c r="Q133">
        <v>0.42599999999999999</v>
      </c>
      <c r="R133">
        <v>0.50600000000000001</v>
      </c>
      <c r="S133">
        <v>178</v>
      </c>
      <c r="T133">
        <v>217</v>
      </c>
      <c r="U133">
        <v>0.82</v>
      </c>
      <c r="V133">
        <v>65</v>
      </c>
      <c r="W133">
        <v>251</v>
      </c>
      <c r="X133">
        <v>316</v>
      </c>
      <c r="Y133">
        <v>105</v>
      </c>
      <c r="Z133">
        <v>97</v>
      </c>
      <c r="AA133">
        <v>31</v>
      </c>
      <c r="AB133">
        <v>128</v>
      </c>
      <c r="AC133">
        <v>189</v>
      </c>
      <c r="AD133">
        <v>943</v>
      </c>
    </row>
    <row r="134" spans="1:30" x14ac:dyDescent="0.3">
      <c r="A134">
        <v>106</v>
      </c>
      <c r="B134" t="s">
        <v>2096</v>
      </c>
      <c r="C134" t="s">
        <v>1961</v>
      </c>
      <c r="D134">
        <v>22</v>
      </c>
      <c r="E134" t="s">
        <v>1970</v>
      </c>
      <c r="F134">
        <v>51</v>
      </c>
      <c r="G134">
        <v>9</v>
      </c>
      <c r="H134">
        <v>683</v>
      </c>
      <c r="I134">
        <v>63</v>
      </c>
      <c r="J134">
        <v>153</v>
      </c>
      <c r="K134">
        <v>0.41199999999999998</v>
      </c>
      <c r="L134">
        <v>30</v>
      </c>
      <c r="M134">
        <v>85</v>
      </c>
      <c r="N134">
        <v>0.35299999999999998</v>
      </c>
      <c r="O134">
        <v>33</v>
      </c>
      <c r="P134">
        <v>68</v>
      </c>
      <c r="Q134">
        <v>0.48499999999999999</v>
      </c>
      <c r="R134">
        <v>0.51</v>
      </c>
      <c r="S134">
        <v>12</v>
      </c>
      <c r="T134">
        <v>16</v>
      </c>
      <c r="U134">
        <v>0.75</v>
      </c>
      <c r="V134">
        <v>7</v>
      </c>
      <c r="W134">
        <v>66</v>
      </c>
      <c r="X134">
        <v>73</v>
      </c>
      <c r="Y134">
        <v>39</v>
      </c>
      <c r="Z134">
        <v>19</v>
      </c>
      <c r="AA134">
        <v>15</v>
      </c>
      <c r="AB134">
        <v>15</v>
      </c>
      <c r="AC134">
        <v>74</v>
      </c>
      <c r="AD134">
        <v>168</v>
      </c>
    </row>
    <row r="135" spans="1:30" x14ac:dyDescent="0.3">
      <c r="A135">
        <v>107</v>
      </c>
      <c r="B135" t="s">
        <v>2097</v>
      </c>
      <c r="C135" t="s">
        <v>1961</v>
      </c>
      <c r="D135">
        <v>34</v>
      </c>
      <c r="E135" t="s">
        <v>2015</v>
      </c>
      <c r="F135">
        <v>64</v>
      </c>
      <c r="G135">
        <v>4</v>
      </c>
      <c r="H135">
        <v>1703</v>
      </c>
      <c r="I135">
        <v>332</v>
      </c>
      <c r="J135">
        <v>839</v>
      </c>
      <c r="K135">
        <v>0.39600000000000002</v>
      </c>
      <c r="L135">
        <v>119</v>
      </c>
      <c r="M135">
        <v>364</v>
      </c>
      <c r="N135">
        <v>0.32700000000000001</v>
      </c>
      <c r="O135">
        <v>213</v>
      </c>
      <c r="P135">
        <v>475</v>
      </c>
      <c r="Q135">
        <v>0.44800000000000001</v>
      </c>
      <c r="R135">
        <v>0.46700000000000003</v>
      </c>
      <c r="S135">
        <v>227</v>
      </c>
      <c r="T135">
        <v>252</v>
      </c>
      <c r="U135">
        <v>0.90100000000000002</v>
      </c>
      <c r="V135">
        <v>18</v>
      </c>
      <c r="W135">
        <v>106</v>
      </c>
      <c r="X135">
        <v>124</v>
      </c>
      <c r="Y135">
        <v>158</v>
      </c>
      <c r="Z135">
        <v>59</v>
      </c>
      <c r="AA135">
        <v>14</v>
      </c>
      <c r="AB135">
        <v>92</v>
      </c>
      <c r="AC135">
        <v>108</v>
      </c>
      <c r="AD135">
        <v>1010</v>
      </c>
    </row>
    <row r="136" spans="1:30" x14ac:dyDescent="0.3">
      <c r="A136">
        <v>108</v>
      </c>
      <c r="B136" t="s">
        <v>2098</v>
      </c>
      <c r="C136" t="s">
        <v>1981</v>
      </c>
      <c r="D136">
        <v>24</v>
      </c>
      <c r="E136" t="s">
        <v>1968</v>
      </c>
      <c r="F136">
        <v>82</v>
      </c>
      <c r="G136">
        <v>17</v>
      </c>
      <c r="H136">
        <v>1647</v>
      </c>
      <c r="I136">
        <v>229</v>
      </c>
      <c r="J136">
        <v>545</v>
      </c>
      <c r="K136">
        <v>0.42</v>
      </c>
      <c r="L136">
        <v>61</v>
      </c>
      <c r="M136">
        <v>208</v>
      </c>
      <c r="N136">
        <v>0.29299999999999998</v>
      </c>
      <c r="O136">
        <v>168</v>
      </c>
      <c r="P136">
        <v>337</v>
      </c>
      <c r="Q136">
        <v>0.499</v>
      </c>
      <c r="R136">
        <v>0.47599999999999998</v>
      </c>
      <c r="S136">
        <v>109</v>
      </c>
      <c r="T136">
        <v>141</v>
      </c>
      <c r="U136">
        <v>0.77300000000000002</v>
      </c>
      <c r="V136">
        <v>72</v>
      </c>
      <c r="W136">
        <v>221</v>
      </c>
      <c r="X136">
        <v>293</v>
      </c>
      <c r="Y136">
        <v>94</v>
      </c>
      <c r="Z136">
        <v>72</v>
      </c>
      <c r="AA136">
        <v>25</v>
      </c>
      <c r="AB136">
        <v>49</v>
      </c>
      <c r="AC136">
        <v>137</v>
      </c>
      <c r="AD136">
        <v>628</v>
      </c>
    </row>
    <row r="137" spans="1:30" x14ac:dyDescent="0.3">
      <c r="A137">
        <v>108</v>
      </c>
      <c r="B137" t="s">
        <v>2098</v>
      </c>
      <c r="C137" t="s">
        <v>1981</v>
      </c>
      <c r="D137">
        <v>24</v>
      </c>
      <c r="E137" t="s">
        <v>1982</v>
      </c>
      <c r="F137">
        <v>25</v>
      </c>
      <c r="G137">
        <v>0</v>
      </c>
      <c r="H137">
        <v>265</v>
      </c>
      <c r="I137">
        <v>33</v>
      </c>
      <c r="J137">
        <v>76</v>
      </c>
      <c r="K137">
        <v>0.434</v>
      </c>
      <c r="L137">
        <v>13</v>
      </c>
      <c r="M137">
        <v>38</v>
      </c>
      <c r="N137">
        <v>0.34200000000000003</v>
      </c>
      <c r="O137">
        <v>20</v>
      </c>
      <c r="P137">
        <v>38</v>
      </c>
      <c r="Q137">
        <v>0.52600000000000002</v>
      </c>
      <c r="R137">
        <v>0.52</v>
      </c>
      <c r="S137">
        <v>10</v>
      </c>
      <c r="T137">
        <v>11</v>
      </c>
      <c r="U137">
        <v>0.90900000000000003</v>
      </c>
      <c r="V137">
        <v>12</v>
      </c>
      <c r="W137">
        <v>17</v>
      </c>
      <c r="X137">
        <v>29</v>
      </c>
      <c r="Y137">
        <v>12</v>
      </c>
      <c r="Z137">
        <v>15</v>
      </c>
      <c r="AA137">
        <v>5</v>
      </c>
      <c r="AB137">
        <v>10</v>
      </c>
      <c r="AC137">
        <v>26</v>
      </c>
      <c r="AD137">
        <v>89</v>
      </c>
    </row>
    <row r="138" spans="1:30" x14ac:dyDescent="0.3">
      <c r="A138">
        <v>108</v>
      </c>
      <c r="B138" t="s">
        <v>2098</v>
      </c>
      <c r="C138" t="s">
        <v>1981</v>
      </c>
      <c r="D138">
        <v>24</v>
      </c>
      <c r="E138" t="s">
        <v>2020</v>
      </c>
      <c r="F138">
        <v>57</v>
      </c>
      <c r="G138">
        <v>17</v>
      </c>
      <c r="H138">
        <v>1382</v>
      </c>
      <c r="I138">
        <v>196</v>
      </c>
      <c r="J138">
        <v>469</v>
      </c>
      <c r="K138">
        <v>0.41799999999999998</v>
      </c>
      <c r="L138">
        <v>48</v>
      </c>
      <c r="M138">
        <v>170</v>
      </c>
      <c r="N138">
        <v>0.28199999999999997</v>
      </c>
      <c r="O138">
        <v>148</v>
      </c>
      <c r="P138">
        <v>299</v>
      </c>
      <c r="Q138">
        <v>0.495</v>
      </c>
      <c r="R138">
        <v>0.46899999999999997</v>
      </c>
      <c r="S138">
        <v>99</v>
      </c>
      <c r="T138">
        <v>130</v>
      </c>
      <c r="U138">
        <v>0.76200000000000001</v>
      </c>
      <c r="V138">
        <v>60</v>
      </c>
      <c r="W138">
        <v>204</v>
      </c>
      <c r="X138">
        <v>264</v>
      </c>
      <c r="Y138">
        <v>82</v>
      </c>
      <c r="Z138">
        <v>57</v>
      </c>
      <c r="AA138">
        <v>20</v>
      </c>
      <c r="AB138">
        <v>39</v>
      </c>
      <c r="AC138">
        <v>111</v>
      </c>
      <c r="AD138">
        <v>539</v>
      </c>
    </row>
    <row r="139" spans="1:30" x14ac:dyDescent="0.3">
      <c r="A139">
        <v>109</v>
      </c>
      <c r="B139" t="s">
        <v>2099</v>
      </c>
      <c r="C139" t="s">
        <v>1956</v>
      </c>
      <c r="D139">
        <v>27</v>
      </c>
      <c r="E139" t="s">
        <v>1972</v>
      </c>
      <c r="F139">
        <v>66</v>
      </c>
      <c r="G139">
        <v>27</v>
      </c>
      <c r="H139">
        <v>1652</v>
      </c>
      <c r="I139">
        <v>155</v>
      </c>
      <c r="J139">
        <v>339</v>
      </c>
      <c r="K139">
        <v>0.45700000000000002</v>
      </c>
      <c r="L139">
        <v>1</v>
      </c>
      <c r="M139">
        <v>10</v>
      </c>
      <c r="N139">
        <v>0.1</v>
      </c>
      <c r="O139">
        <v>154</v>
      </c>
      <c r="P139">
        <v>329</v>
      </c>
      <c r="Q139">
        <v>0.46800000000000003</v>
      </c>
      <c r="R139">
        <v>0.45900000000000002</v>
      </c>
      <c r="S139">
        <v>29</v>
      </c>
      <c r="T139">
        <v>47</v>
      </c>
      <c r="U139">
        <v>0.61699999999999999</v>
      </c>
      <c r="V139">
        <v>70</v>
      </c>
      <c r="W139">
        <v>186</v>
      </c>
      <c r="X139">
        <v>256</v>
      </c>
      <c r="Y139">
        <v>50</v>
      </c>
      <c r="Z139">
        <v>46</v>
      </c>
      <c r="AA139">
        <v>37</v>
      </c>
      <c r="AB139">
        <v>35</v>
      </c>
      <c r="AC139">
        <v>101</v>
      </c>
      <c r="AD139">
        <v>340</v>
      </c>
    </row>
    <row r="140" spans="1:30" x14ac:dyDescent="0.3">
      <c r="A140">
        <v>110</v>
      </c>
      <c r="B140" t="s">
        <v>2100</v>
      </c>
      <c r="C140" t="s">
        <v>1961</v>
      </c>
      <c r="D140">
        <v>23</v>
      </c>
      <c r="E140" t="s">
        <v>2015</v>
      </c>
      <c r="F140">
        <v>19</v>
      </c>
      <c r="G140">
        <v>0</v>
      </c>
      <c r="H140">
        <v>89</v>
      </c>
      <c r="I140">
        <v>12</v>
      </c>
      <c r="J140">
        <v>33</v>
      </c>
      <c r="K140">
        <v>0.36399999999999999</v>
      </c>
      <c r="L140">
        <v>4</v>
      </c>
      <c r="M140">
        <v>13</v>
      </c>
      <c r="N140">
        <v>0.308</v>
      </c>
      <c r="O140">
        <v>8</v>
      </c>
      <c r="P140">
        <v>20</v>
      </c>
      <c r="Q140">
        <v>0.4</v>
      </c>
      <c r="R140">
        <v>0.42399999999999999</v>
      </c>
      <c r="S140">
        <v>7</v>
      </c>
      <c r="T140">
        <v>13</v>
      </c>
      <c r="U140">
        <v>0.53800000000000003</v>
      </c>
      <c r="V140">
        <v>1</v>
      </c>
      <c r="W140">
        <v>8</v>
      </c>
      <c r="X140">
        <v>9</v>
      </c>
      <c r="Y140">
        <v>10</v>
      </c>
      <c r="Z140">
        <v>3</v>
      </c>
      <c r="AA140">
        <v>0</v>
      </c>
      <c r="AB140">
        <v>7</v>
      </c>
      <c r="AC140">
        <v>12</v>
      </c>
      <c r="AD140">
        <v>35</v>
      </c>
    </row>
    <row r="141" spans="1:30" x14ac:dyDescent="0.3">
      <c r="A141">
        <v>111</v>
      </c>
      <c r="B141" t="s">
        <v>2101</v>
      </c>
      <c r="C141" t="s">
        <v>2004</v>
      </c>
      <c r="D141">
        <v>24</v>
      </c>
      <c r="E141" t="s">
        <v>2017</v>
      </c>
      <c r="F141">
        <v>2</v>
      </c>
      <c r="G141">
        <v>0</v>
      </c>
      <c r="H141">
        <v>8</v>
      </c>
      <c r="I141">
        <v>0</v>
      </c>
      <c r="J141">
        <v>3</v>
      </c>
      <c r="K141">
        <v>0</v>
      </c>
      <c r="L141">
        <v>0</v>
      </c>
      <c r="M141">
        <v>1</v>
      </c>
      <c r="N141">
        <v>0</v>
      </c>
      <c r="O141">
        <v>0</v>
      </c>
      <c r="P141">
        <v>2</v>
      </c>
      <c r="Q141">
        <v>0</v>
      </c>
      <c r="R141">
        <v>0</v>
      </c>
      <c r="S141">
        <v>0</v>
      </c>
      <c r="T141">
        <v>0</v>
      </c>
      <c r="V141">
        <v>0</v>
      </c>
      <c r="W141">
        <v>2</v>
      </c>
      <c r="X141">
        <v>2</v>
      </c>
      <c r="Y141">
        <v>1</v>
      </c>
      <c r="Z141">
        <v>0</v>
      </c>
      <c r="AA141">
        <v>0</v>
      </c>
      <c r="AB141">
        <v>0</v>
      </c>
      <c r="AC141">
        <v>2</v>
      </c>
      <c r="AD141">
        <v>0</v>
      </c>
    </row>
    <row r="142" spans="1:30" x14ac:dyDescent="0.3">
      <c r="A142">
        <v>112</v>
      </c>
      <c r="B142" t="s">
        <v>2102</v>
      </c>
      <c r="C142" t="s">
        <v>2004</v>
      </c>
      <c r="D142">
        <v>26</v>
      </c>
      <c r="E142" t="s">
        <v>2010</v>
      </c>
      <c r="F142">
        <v>80</v>
      </c>
      <c r="G142">
        <v>80</v>
      </c>
      <c r="H142">
        <v>2613</v>
      </c>
      <c r="I142">
        <v>653</v>
      </c>
      <c r="J142">
        <v>1341</v>
      </c>
      <c r="K142">
        <v>0.48699999999999999</v>
      </c>
      <c r="L142">
        <v>286</v>
      </c>
      <c r="M142">
        <v>646</v>
      </c>
      <c r="N142">
        <v>0.443</v>
      </c>
      <c r="O142">
        <v>367</v>
      </c>
      <c r="P142">
        <v>695</v>
      </c>
      <c r="Q142">
        <v>0.52800000000000002</v>
      </c>
      <c r="R142">
        <v>0.59399999999999997</v>
      </c>
      <c r="S142">
        <v>308</v>
      </c>
      <c r="T142">
        <v>337</v>
      </c>
      <c r="U142">
        <v>0.91400000000000003</v>
      </c>
      <c r="V142">
        <v>56</v>
      </c>
      <c r="W142">
        <v>285</v>
      </c>
      <c r="X142">
        <v>341</v>
      </c>
      <c r="Y142">
        <v>619</v>
      </c>
      <c r="Z142">
        <v>163</v>
      </c>
      <c r="AA142">
        <v>16</v>
      </c>
      <c r="AB142">
        <v>249</v>
      </c>
      <c r="AC142">
        <v>158</v>
      </c>
      <c r="AD142">
        <v>1900</v>
      </c>
    </row>
    <row r="143" spans="1:30" x14ac:dyDescent="0.3">
      <c r="A143">
        <v>113</v>
      </c>
      <c r="B143" t="s">
        <v>2103</v>
      </c>
      <c r="C143" t="s">
        <v>213</v>
      </c>
      <c r="D143">
        <v>33</v>
      </c>
      <c r="E143" t="s">
        <v>1959</v>
      </c>
      <c r="F143">
        <v>32</v>
      </c>
      <c r="G143">
        <v>21</v>
      </c>
      <c r="H143">
        <v>544</v>
      </c>
      <c r="I143">
        <v>57</v>
      </c>
      <c r="J143">
        <v>130</v>
      </c>
      <c r="K143">
        <v>0.438</v>
      </c>
      <c r="L143">
        <v>0</v>
      </c>
      <c r="M143">
        <v>0</v>
      </c>
      <c r="O143">
        <v>57</v>
      </c>
      <c r="P143">
        <v>130</v>
      </c>
      <c r="Q143">
        <v>0.438</v>
      </c>
      <c r="R143">
        <v>0.438</v>
      </c>
      <c r="S143">
        <v>14</v>
      </c>
      <c r="T143">
        <v>20</v>
      </c>
      <c r="U143">
        <v>0.7</v>
      </c>
      <c r="V143">
        <v>53</v>
      </c>
      <c r="W143">
        <v>115</v>
      </c>
      <c r="X143">
        <v>168</v>
      </c>
      <c r="Y143">
        <v>29</v>
      </c>
      <c r="Z143">
        <v>14</v>
      </c>
      <c r="AA143">
        <v>41</v>
      </c>
      <c r="AB143">
        <v>39</v>
      </c>
      <c r="AC143">
        <v>70</v>
      </c>
      <c r="AD143">
        <v>128</v>
      </c>
    </row>
    <row r="144" spans="1:30" x14ac:dyDescent="0.3">
      <c r="A144">
        <v>114</v>
      </c>
      <c r="B144" t="s">
        <v>2104</v>
      </c>
      <c r="C144" t="s">
        <v>1961</v>
      </c>
      <c r="D144">
        <v>23</v>
      </c>
      <c r="E144" t="s">
        <v>1968</v>
      </c>
      <c r="F144">
        <v>47</v>
      </c>
      <c r="G144">
        <v>0</v>
      </c>
      <c r="H144">
        <v>397</v>
      </c>
      <c r="I144">
        <v>61</v>
      </c>
      <c r="J144">
        <v>165</v>
      </c>
      <c r="K144">
        <v>0.37</v>
      </c>
      <c r="L144">
        <v>43</v>
      </c>
      <c r="M144">
        <v>118</v>
      </c>
      <c r="N144">
        <v>0.36399999999999999</v>
      </c>
      <c r="O144">
        <v>18</v>
      </c>
      <c r="P144">
        <v>47</v>
      </c>
      <c r="Q144">
        <v>0.38300000000000001</v>
      </c>
      <c r="R144">
        <v>0.5</v>
      </c>
      <c r="S144">
        <v>11</v>
      </c>
      <c r="T144">
        <v>13</v>
      </c>
      <c r="U144">
        <v>0.84599999999999997</v>
      </c>
      <c r="V144">
        <v>8</v>
      </c>
      <c r="W144">
        <v>25</v>
      </c>
      <c r="X144">
        <v>33</v>
      </c>
      <c r="Y144">
        <v>22</v>
      </c>
      <c r="Z144">
        <v>6</v>
      </c>
      <c r="AA144">
        <v>1</v>
      </c>
      <c r="AB144">
        <v>20</v>
      </c>
      <c r="AC144">
        <v>40</v>
      </c>
      <c r="AD144">
        <v>176</v>
      </c>
    </row>
    <row r="145" spans="1:30" x14ac:dyDescent="0.3">
      <c r="A145">
        <v>114</v>
      </c>
      <c r="B145" t="s">
        <v>2104</v>
      </c>
      <c r="C145" t="s">
        <v>1961</v>
      </c>
      <c r="D145">
        <v>23</v>
      </c>
      <c r="E145" t="s">
        <v>2000</v>
      </c>
      <c r="F145">
        <v>17</v>
      </c>
      <c r="G145">
        <v>0</v>
      </c>
      <c r="H145">
        <v>108</v>
      </c>
      <c r="I145">
        <v>15</v>
      </c>
      <c r="J145">
        <v>47</v>
      </c>
      <c r="K145">
        <v>0.31900000000000001</v>
      </c>
      <c r="L145">
        <v>13</v>
      </c>
      <c r="M145">
        <v>43</v>
      </c>
      <c r="N145">
        <v>0.30199999999999999</v>
      </c>
      <c r="O145">
        <v>2</v>
      </c>
      <c r="P145">
        <v>4</v>
      </c>
      <c r="Q145">
        <v>0.5</v>
      </c>
      <c r="R145">
        <v>0.45700000000000002</v>
      </c>
      <c r="S145">
        <v>3</v>
      </c>
      <c r="T145">
        <v>4</v>
      </c>
      <c r="U145">
        <v>0.75</v>
      </c>
      <c r="V145">
        <v>0</v>
      </c>
      <c r="W145">
        <v>6</v>
      </c>
      <c r="X145">
        <v>6</v>
      </c>
      <c r="Y145">
        <v>4</v>
      </c>
      <c r="Z145">
        <v>0</v>
      </c>
      <c r="AA145">
        <v>0</v>
      </c>
      <c r="AB145">
        <v>5</v>
      </c>
      <c r="AC145">
        <v>14</v>
      </c>
      <c r="AD145">
        <v>46</v>
      </c>
    </row>
    <row r="146" spans="1:30" x14ac:dyDescent="0.3">
      <c r="A146">
        <v>114</v>
      </c>
      <c r="B146" t="s">
        <v>2104</v>
      </c>
      <c r="C146" t="s">
        <v>1961</v>
      </c>
      <c r="D146">
        <v>23</v>
      </c>
      <c r="E146" t="s">
        <v>1966</v>
      </c>
      <c r="F146">
        <v>19</v>
      </c>
      <c r="G146">
        <v>0</v>
      </c>
      <c r="H146">
        <v>154</v>
      </c>
      <c r="I146">
        <v>19</v>
      </c>
      <c r="J146">
        <v>59</v>
      </c>
      <c r="K146">
        <v>0.32200000000000001</v>
      </c>
      <c r="L146">
        <v>13</v>
      </c>
      <c r="M146">
        <v>39</v>
      </c>
      <c r="N146">
        <v>0.33300000000000002</v>
      </c>
      <c r="O146">
        <v>6</v>
      </c>
      <c r="P146">
        <v>20</v>
      </c>
      <c r="Q146">
        <v>0.3</v>
      </c>
      <c r="R146">
        <v>0.432</v>
      </c>
      <c r="S146">
        <v>2</v>
      </c>
      <c r="T146">
        <v>2</v>
      </c>
      <c r="U146">
        <v>1</v>
      </c>
      <c r="V146">
        <v>6</v>
      </c>
      <c r="W146">
        <v>13</v>
      </c>
      <c r="X146">
        <v>19</v>
      </c>
      <c r="Y146">
        <v>13</v>
      </c>
      <c r="Z146">
        <v>3</v>
      </c>
      <c r="AA146">
        <v>0</v>
      </c>
      <c r="AB146">
        <v>8</v>
      </c>
      <c r="AC146">
        <v>14</v>
      </c>
      <c r="AD146">
        <v>53</v>
      </c>
    </row>
    <row r="147" spans="1:30" x14ac:dyDescent="0.3">
      <c r="A147">
        <v>114</v>
      </c>
      <c r="B147" t="s">
        <v>2104</v>
      </c>
      <c r="C147" t="s">
        <v>1961</v>
      </c>
      <c r="D147">
        <v>23</v>
      </c>
      <c r="E147" t="s">
        <v>2036</v>
      </c>
      <c r="F147">
        <v>11</v>
      </c>
      <c r="G147">
        <v>0</v>
      </c>
      <c r="H147">
        <v>135</v>
      </c>
      <c r="I147">
        <v>27</v>
      </c>
      <c r="J147">
        <v>59</v>
      </c>
      <c r="K147">
        <v>0.45800000000000002</v>
      </c>
      <c r="L147">
        <v>17</v>
      </c>
      <c r="M147">
        <v>36</v>
      </c>
      <c r="N147">
        <v>0.47199999999999998</v>
      </c>
      <c r="O147">
        <v>10</v>
      </c>
      <c r="P147">
        <v>23</v>
      </c>
      <c r="Q147">
        <v>0.435</v>
      </c>
      <c r="R147">
        <v>0.60199999999999998</v>
      </c>
      <c r="S147">
        <v>6</v>
      </c>
      <c r="T147">
        <v>7</v>
      </c>
      <c r="U147">
        <v>0.85699999999999998</v>
      </c>
      <c r="V147">
        <v>2</v>
      </c>
      <c r="W147">
        <v>6</v>
      </c>
      <c r="X147">
        <v>8</v>
      </c>
      <c r="Y147">
        <v>5</v>
      </c>
      <c r="Z147">
        <v>3</v>
      </c>
      <c r="AA147">
        <v>1</v>
      </c>
      <c r="AB147">
        <v>7</v>
      </c>
      <c r="AC147">
        <v>12</v>
      </c>
      <c r="AD147">
        <v>77</v>
      </c>
    </row>
    <row r="148" spans="1:30" x14ac:dyDescent="0.3">
      <c r="A148">
        <v>115</v>
      </c>
      <c r="B148" t="s">
        <v>2105</v>
      </c>
      <c r="C148" t="s">
        <v>1981</v>
      </c>
      <c r="D148">
        <v>27</v>
      </c>
      <c r="E148" t="s">
        <v>1968</v>
      </c>
      <c r="F148">
        <v>21</v>
      </c>
      <c r="G148">
        <v>1</v>
      </c>
      <c r="H148">
        <v>209</v>
      </c>
      <c r="I148">
        <v>43</v>
      </c>
      <c r="J148">
        <v>89</v>
      </c>
      <c r="K148">
        <v>0.48299999999999998</v>
      </c>
      <c r="L148">
        <v>18</v>
      </c>
      <c r="M148">
        <v>40</v>
      </c>
      <c r="N148">
        <v>0.45</v>
      </c>
      <c r="O148">
        <v>25</v>
      </c>
      <c r="P148">
        <v>49</v>
      </c>
      <c r="Q148">
        <v>0.51</v>
      </c>
      <c r="R148">
        <v>0.58399999999999996</v>
      </c>
      <c r="S148">
        <v>1</v>
      </c>
      <c r="T148">
        <v>1</v>
      </c>
      <c r="U148">
        <v>1</v>
      </c>
      <c r="V148">
        <v>3</v>
      </c>
      <c r="W148">
        <v>26</v>
      </c>
      <c r="X148">
        <v>29</v>
      </c>
      <c r="Y148">
        <v>9</v>
      </c>
      <c r="Z148">
        <v>2</v>
      </c>
      <c r="AA148">
        <v>7</v>
      </c>
      <c r="AB148">
        <v>9</v>
      </c>
      <c r="AC148">
        <v>15</v>
      </c>
      <c r="AD148">
        <v>105</v>
      </c>
    </row>
    <row r="149" spans="1:30" x14ac:dyDescent="0.3">
      <c r="A149">
        <v>115</v>
      </c>
      <c r="B149" t="s">
        <v>2105</v>
      </c>
      <c r="C149" t="s">
        <v>1981</v>
      </c>
      <c r="D149">
        <v>27</v>
      </c>
      <c r="E149" t="s">
        <v>1996</v>
      </c>
      <c r="F149">
        <v>3</v>
      </c>
      <c r="G149">
        <v>0</v>
      </c>
      <c r="H149">
        <v>17</v>
      </c>
      <c r="I149">
        <v>5</v>
      </c>
      <c r="J149">
        <v>12</v>
      </c>
      <c r="K149">
        <v>0.41699999999999998</v>
      </c>
      <c r="L149">
        <v>1</v>
      </c>
      <c r="M149">
        <v>4</v>
      </c>
      <c r="N149">
        <v>0.25</v>
      </c>
      <c r="O149">
        <v>4</v>
      </c>
      <c r="P149">
        <v>8</v>
      </c>
      <c r="Q149">
        <v>0.5</v>
      </c>
      <c r="R149">
        <v>0.45800000000000002</v>
      </c>
      <c r="S149">
        <v>0</v>
      </c>
      <c r="T149">
        <v>0</v>
      </c>
      <c r="V149">
        <v>1</v>
      </c>
      <c r="W149">
        <v>3</v>
      </c>
      <c r="X149">
        <v>4</v>
      </c>
      <c r="Y149">
        <v>2</v>
      </c>
      <c r="Z149">
        <v>1</v>
      </c>
      <c r="AA149">
        <v>0</v>
      </c>
      <c r="AB149">
        <v>2</v>
      </c>
      <c r="AC149">
        <v>1</v>
      </c>
      <c r="AD149">
        <v>11</v>
      </c>
    </row>
    <row r="150" spans="1:30" x14ac:dyDescent="0.3">
      <c r="A150">
        <v>115</v>
      </c>
      <c r="B150" t="s">
        <v>2105</v>
      </c>
      <c r="C150" t="s">
        <v>1981</v>
      </c>
      <c r="D150">
        <v>27</v>
      </c>
      <c r="E150" t="s">
        <v>2020</v>
      </c>
      <c r="F150">
        <v>18</v>
      </c>
      <c r="G150">
        <v>1</v>
      </c>
      <c r="H150">
        <v>192</v>
      </c>
      <c r="I150">
        <v>38</v>
      </c>
      <c r="J150">
        <v>77</v>
      </c>
      <c r="K150">
        <v>0.49399999999999999</v>
      </c>
      <c r="L150">
        <v>17</v>
      </c>
      <c r="M150">
        <v>36</v>
      </c>
      <c r="N150">
        <v>0.47199999999999998</v>
      </c>
      <c r="O150">
        <v>21</v>
      </c>
      <c r="P150">
        <v>41</v>
      </c>
      <c r="Q150">
        <v>0.51200000000000001</v>
      </c>
      <c r="R150">
        <v>0.60399999999999998</v>
      </c>
      <c r="S150">
        <v>1</v>
      </c>
      <c r="T150">
        <v>1</v>
      </c>
      <c r="U150">
        <v>1</v>
      </c>
      <c r="V150">
        <v>2</v>
      </c>
      <c r="W150">
        <v>23</v>
      </c>
      <c r="X150">
        <v>25</v>
      </c>
      <c r="Y150">
        <v>7</v>
      </c>
      <c r="Z150">
        <v>1</v>
      </c>
      <c r="AA150">
        <v>7</v>
      </c>
      <c r="AB150">
        <v>7</v>
      </c>
      <c r="AC150">
        <v>14</v>
      </c>
      <c r="AD150">
        <v>94</v>
      </c>
    </row>
    <row r="151" spans="1:30" x14ac:dyDescent="0.3">
      <c r="A151">
        <v>116</v>
      </c>
      <c r="B151" t="s">
        <v>2106</v>
      </c>
      <c r="C151" t="s">
        <v>1956</v>
      </c>
      <c r="D151">
        <v>23</v>
      </c>
      <c r="E151" t="s">
        <v>1968</v>
      </c>
      <c r="F151">
        <v>27</v>
      </c>
      <c r="G151">
        <v>6</v>
      </c>
      <c r="H151">
        <v>423</v>
      </c>
      <c r="I151">
        <v>55</v>
      </c>
      <c r="J151">
        <v>137</v>
      </c>
      <c r="K151">
        <v>0.40100000000000002</v>
      </c>
      <c r="L151">
        <v>8</v>
      </c>
      <c r="M151">
        <v>34</v>
      </c>
      <c r="N151">
        <v>0.23499999999999999</v>
      </c>
      <c r="O151">
        <v>47</v>
      </c>
      <c r="P151">
        <v>103</v>
      </c>
      <c r="Q151">
        <v>0.45600000000000002</v>
      </c>
      <c r="R151">
        <v>0.43099999999999999</v>
      </c>
      <c r="S151">
        <v>24</v>
      </c>
      <c r="T151">
        <v>37</v>
      </c>
      <c r="U151">
        <v>0.64900000000000002</v>
      </c>
      <c r="V151">
        <v>38</v>
      </c>
      <c r="W151">
        <v>45</v>
      </c>
      <c r="X151">
        <v>83</v>
      </c>
      <c r="Y151">
        <v>30</v>
      </c>
      <c r="Z151">
        <v>18</v>
      </c>
      <c r="AA151">
        <v>7</v>
      </c>
      <c r="AB151">
        <v>29</v>
      </c>
      <c r="AC151">
        <v>59</v>
      </c>
      <c r="AD151">
        <v>142</v>
      </c>
    </row>
    <row r="152" spans="1:30" x14ac:dyDescent="0.3">
      <c r="A152">
        <v>116</v>
      </c>
      <c r="B152" t="s">
        <v>2106</v>
      </c>
      <c r="C152" t="s">
        <v>1956</v>
      </c>
      <c r="D152">
        <v>23</v>
      </c>
      <c r="E152" t="s">
        <v>1974</v>
      </c>
      <c r="F152">
        <v>20</v>
      </c>
      <c r="G152">
        <v>6</v>
      </c>
      <c r="H152">
        <v>379</v>
      </c>
      <c r="I152">
        <v>49</v>
      </c>
      <c r="J152">
        <v>119</v>
      </c>
      <c r="K152">
        <v>0.41199999999999998</v>
      </c>
      <c r="L152">
        <v>7</v>
      </c>
      <c r="M152">
        <v>30</v>
      </c>
      <c r="N152">
        <v>0.23300000000000001</v>
      </c>
      <c r="O152">
        <v>42</v>
      </c>
      <c r="P152">
        <v>89</v>
      </c>
      <c r="Q152">
        <v>0.47199999999999998</v>
      </c>
      <c r="R152">
        <v>0.441</v>
      </c>
      <c r="S152">
        <v>21</v>
      </c>
      <c r="T152">
        <v>33</v>
      </c>
      <c r="U152">
        <v>0.63600000000000001</v>
      </c>
      <c r="V152">
        <v>35</v>
      </c>
      <c r="W152">
        <v>38</v>
      </c>
      <c r="X152">
        <v>73</v>
      </c>
      <c r="Y152">
        <v>28</v>
      </c>
      <c r="Z152">
        <v>17</v>
      </c>
      <c r="AA152">
        <v>4</v>
      </c>
      <c r="AB152">
        <v>25</v>
      </c>
      <c r="AC152">
        <v>54</v>
      </c>
      <c r="AD152">
        <v>126</v>
      </c>
    </row>
    <row r="153" spans="1:30" x14ac:dyDescent="0.3">
      <c r="A153">
        <v>116</v>
      </c>
      <c r="B153" t="s">
        <v>2106</v>
      </c>
      <c r="C153" t="s">
        <v>1956</v>
      </c>
      <c r="D153">
        <v>23</v>
      </c>
      <c r="E153" t="s">
        <v>1988</v>
      </c>
      <c r="F153">
        <v>7</v>
      </c>
      <c r="G153">
        <v>0</v>
      </c>
      <c r="H153">
        <v>44</v>
      </c>
      <c r="I153">
        <v>6</v>
      </c>
      <c r="J153">
        <v>18</v>
      </c>
      <c r="K153">
        <v>0.33300000000000002</v>
      </c>
      <c r="L153">
        <v>1</v>
      </c>
      <c r="M153">
        <v>4</v>
      </c>
      <c r="N153">
        <v>0.25</v>
      </c>
      <c r="O153">
        <v>5</v>
      </c>
      <c r="P153">
        <v>14</v>
      </c>
      <c r="Q153">
        <v>0.35699999999999998</v>
      </c>
      <c r="R153">
        <v>0.36099999999999999</v>
      </c>
      <c r="S153">
        <v>3</v>
      </c>
      <c r="T153">
        <v>4</v>
      </c>
      <c r="U153">
        <v>0.75</v>
      </c>
      <c r="V153">
        <v>3</v>
      </c>
      <c r="W153">
        <v>7</v>
      </c>
      <c r="X153">
        <v>10</v>
      </c>
      <c r="Y153">
        <v>2</v>
      </c>
      <c r="Z153">
        <v>1</v>
      </c>
      <c r="AA153">
        <v>3</v>
      </c>
      <c r="AB153">
        <v>4</v>
      </c>
      <c r="AC153">
        <v>5</v>
      </c>
      <c r="AD153">
        <v>16</v>
      </c>
    </row>
    <row r="154" spans="1:30" x14ac:dyDescent="0.3">
      <c r="A154">
        <v>117</v>
      </c>
      <c r="B154" t="s">
        <v>2107</v>
      </c>
      <c r="C154" t="s">
        <v>1956</v>
      </c>
      <c r="D154">
        <v>21</v>
      </c>
      <c r="E154" t="s">
        <v>1972</v>
      </c>
      <c r="F154">
        <v>68</v>
      </c>
      <c r="G154">
        <v>68</v>
      </c>
      <c r="H154">
        <v>2455</v>
      </c>
      <c r="I154">
        <v>642</v>
      </c>
      <c r="J154">
        <v>1199</v>
      </c>
      <c r="K154">
        <v>0.53500000000000003</v>
      </c>
      <c r="L154">
        <v>1</v>
      </c>
      <c r="M154">
        <v>12</v>
      </c>
      <c r="N154">
        <v>8.3000000000000004E-2</v>
      </c>
      <c r="O154">
        <v>641</v>
      </c>
      <c r="P154">
        <v>1187</v>
      </c>
      <c r="Q154">
        <v>0.54</v>
      </c>
      <c r="R154">
        <v>0.53600000000000003</v>
      </c>
      <c r="S154">
        <v>371</v>
      </c>
      <c r="T154">
        <v>461</v>
      </c>
      <c r="U154">
        <v>0.80500000000000005</v>
      </c>
      <c r="V154">
        <v>173</v>
      </c>
      <c r="W154">
        <v>523</v>
      </c>
      <c r="X154">
        <v>696</v>
      </c>
      <c r="Y154">
        <v>149</v>
      </c>
      <c r="Z154">
        <v>100</v>
      </c>
      <c r="AA154">
        <v>200</v>
      </c>
      <c r="AB154">
        <v>95</v>
      </c>
      <c r="AC154">
        <v>141</v>
      </c>
      <c r="AD154">
        <v>1656</v>
      </c>
    </row>
    <row r="155" spans="1:30" x14ac:dyDescent="0.3">
      <c r="A155">
        <v>118</v>
      </c>
      <c r="B155" t="s">
        <v>2108</v>
      </c>
      <c r="C155" t="s">
        <v>1956</v>
      </c>
      <c r="D155">
        <v>25</v>
      </c>
      <c r="E155" t="s">
        <v>2038</v>
      </c>
      <c r="F155">
        <v>79</v>
      </c>
      <c r="G155">
        <v>24</v>
      </c>
      <c r="H155">
        <v>1840</v>
      </c>
      <c r="I155">
        <v>282</v>
      </c>
      <c r="J155">
        <v>469</v>
      </c>
      <c r="K155">
        <v>0.60099999999999998</v>
      </c>
      <c r="L155">
        <v>0</v>
      </c>
      <c r="M155">
        <v>0</v>
      </c>
      <c r="O155">
        <v>282</v>
      </c>
      <c r="P155">
        <v>469</v>
      </c>
      <c r="Q155">
        <v>0.60099999999999998</v>
      </c>
      <c r="R155">
        <v>0.60099999999999998</v>
      </c>
      <c r="S155">
        <v>92</v>
      </c>
      <c r="T155">
        <v>189</v>
      </c>
      <c r="U155">
        <v>0.48699999999999999</v>
      </c>
      <c r="V155">
        <v>230</v>
      </c>
      <c r="W155">
        <v>370</v>
      </c>
      <c r="X155">
        <v>600</v>
      </c>
      <c r="Y155">
        <v>94</v>
      </c>
      <c r="Z155">
        <v>49</v>
      </c>
      <c r="AA155">
        <v>98</v>
      </c>
      <c r="AB155">
        <v>58</v>
      </c>
      <c r="AC155">
        <v>202</v>
      </c>
      <c r="AD155">
        <v>656</v>
      </c>
    </row>
    <row r="156" spans="1:30" x14ac:dyDescent="0.3">
      <c r="A156">
        <v>119</v>
      </c>
      <c r="B156" t="s">
        <v>2109</v>
      </c>
      <c r="C156" t="s">
        <v>1956</v>
      </c>
      <c r="D156">
        <v>29</v>
      </c>
      <c r="E156" t="s">
        <v>2015</v>
      </c>
      <c r="F156">
        <v>74</v>
      </c>
      <c r="G156">
        <v>0</v>
      </c>
      <c r="H156">
        <v>904</v>
      </c>
      <c r="I156">
        <v>117</v>
      </c>
      <c r="J156">
        <v>255</v>
      </c>
      <c r="K156">
        <v>0.45900000000000002</v>
      </c>
      <c r="L156">
        <v>0</v>
      </c>
      <c r="M156">
        <v>4</v>
      </c>
      <c r="N156">
        <v>0</v>
      </c>
      <c r="O156">
        <v>117</v>
      </c>
      <c r="P156">
        <v>251</v>
      </c>
      <c r="Q156">
        <v>0.46600000000000003</v>
      </c>
      <c r="R156">
        <v>0.45900000000000002</v>
      </c>
      <c r="S156">
        <v>60</v>
      </c>
      <c r="T156">
        <v>95</v>
      </c>
      <c r="U156">
        <v>0.63200000000000001</v>
      </c>
      <c r="V156">
        <v>43</v>
      </c>
      <c r="W156">
        <v>126</v>
      </c>
      <c r="X156">
        <v>169</v>
      </c>
      <c r="Y156">
        <v>39</v>
      </c>
      <c r="Z156">
        <v>41</v>
      </c>
      <c r="AA156">
        <v>21</v>
      </c>
      <c r="AB156">
        <v>39</v>
      </c>
      <c r="AC156">
        <v>132</v>
      </c>
      <c r="AD156">
        <v>294</v>
      </c>
    </row>
    <row r="157" spans="1:30" x14ac:dyDescent="0.3">
      <c r="A157">
        <v>120</v>
      </c>
      <c r="B157" t="s">
        <v>2110</v>
      </c>
      <c r="C157" t="s">
        <v>1961</v>
      </c>
      <c r="D157">
        <v>23</v>
      </c>
      <c r="E157" t="s">
        <v>1986</v>
      </c>
      <c r="F157">
        <v>4</v>
      </c>
      <c r="G157">
        <v>0</v>
      </c>
      <c r="H157">
        <v>22</v>
      </c>
      <c r="I157">
        <v>1</v>
      </c>
      <c r="J157">
        <v>6</v>
      </c>
      <c r="K157">
        <v>0.16700000000000001</v>
      </c>
      <c r="L157">
        <v>1</v>
      </c>
      <c r="M157">
        <v>6</v>
      </c>
      <c r="N157">
        <v>0.16700000000000001</v>
      </c>
      <c r="O157">
        <v>0</v>
      </c>
      <c r="P157">
        <v>0</v>
      </c>
      <c r="R157">
        <v>0.25</v>
      </c>
      <c r="S157">
        <v>0</v>
      </c>
      <c r="T157">
        <v>0</v>
      </c>
      <c r="V157">
        <v>0</v>
      </c>
      <c r="W157">
        <v>2</v>
      </c>
      <c r="X157">
        <v>2</v>
      </c>
      <c r="Y157">
        <v>1</v>
      </c>
      <c r="Z157">
        <v>0</v>
      </c>
      <c r="AA157">
        <v>0</v>
      </c>
      <c r="AB157">
        <v>1</v>
      </c>
      <c r="AC157">
        <v>3</v>
      </c>
      <c r="AD157">
        <v>3</v>
      </c>
    </row>
    <row r="158" spans="1:30" x14ac:dyDescent="0.3">
      <c r="A158" t="s">
        <v>1929</v>
      </c>
      <c r="B158" t="s">
        <v>1930</v>
      </c>
      <c r="C158" t="s">
        <v>1931</v>
      </c>
      <c r="D158" t="s">
        <v>198</v>
      </c>
      <c r="E158" t="s">
        <v>1932</v>
      </c>
      <c r="F158" t="s">
        <v>1933</v>
      </c>
      <c r="G158" t="s">
        <v>1934</v>
      </c>
      <c r="H158" t="s">
        <v>1935</v>
      </c>
      <c r="I158" t="s">
        <v>1936</v>
      </c>
      <c r="J158" t="s">
        <v>1937</v>
      </c>
      <c r="K158" t="s">
        <v>1938</v>
      </c>
      <c r="L158" t="s">
        <v>1939</v>
      </c>
      <c r="M158" t="s">
        <v>1940</v>
      </c>
      <c r="N158" t="s">
        <v>1941</v>
      </c>
      <c r="O158" t="s">
        <v>1942</v>
      </c>
      <c r="P158" t="s">
        <v>1943</v>
      </c>
      <c r="Q158" t="s">
        <v>1944</v>
      </c>
      <c r="R158" t="s">
        <v>1945</v>
      </c>
      <c r="S158" t="s">
        <v>1946</v>
      </c>
      <c r="T158" t="s">
        <v>1947</v>
      </c>
      <c r="U158" t="s">
        <v>1948</v>
      </c>
      <c r="V158" t="s">
        <v>1949</v>
      </c>
      <c r="W158" t="s">
        <v>1950</v>
      </c>
      <c r="X158" t="s">
        <v>1951</v>
      </c>
      <c r="Y158" t="s">
        <v>1952</v>
      </c>
      <c r="Z158" t="s">
        <v>1953</v>
      </c>
      <c r="AA158" t="s">
        <v>1954</v>
      </c>
      <c r="AB158" t="s">
        <v>1955</v>
      </c>
      <c r="AC158" t="s">
        <v>1956</v>
      </c>
      <c r="AD158" t="s">
        <v>1957</v>
      </c>
    </row>
    <row r="159" spans="1:30" x14ac:dyDescent="0.3">
      <c r="A159">
        <v>121</v>
      </c>
      <c r="B159" t="s">
        <v>2111</v>
      </c>
      <c r="C159" t="s">
        <v>1981</v>
      </c>
      <c r="D159">
        <v>26</v>
      </c>
      <c r="E159" t="s">
        <v>1968</v>
      </c>
      <c r="F159">
        <v>34</v>
      </c>
      <c r="G159">
        <v>4</v>
      </c>
      <c r="H159">
        <v>344</v>
      </c>
      <c r="I159">
        <v>50</v>
      </c>
      <c r="J159">
        <v>141</v>
      </c>
      <c r="K159">
        <v>0.35499999999999998</v>
      </c>
      <c r="L159">
        <v>24</v>
      </c>
      <c r="M159">
        <v>71</v>
      </c>
      <c r="N159">
        <v>0.33800000000000002</v>
      </c>
      <c r="O159">
        <v>26</v>
      </c>
      <c r="P159">
        <v>70</v>
      </c>
      <c r="Q159">
        <v>0.371</v>
      </c>
      <c r="R159">
        <v>0.44</v>
      </c>
      <c r="S159">
        <v>5</v>
      </c>
      <c r="T159">
        <v>6</v>
      </c>
      <c r="U159">
        <v>0.83299999999999996</v>
      </c>
      <c r="V159">
        <v>10</v>
      </c>
      <c r="W159">
        <v>65</v>
      </c>
      <c r="X159">
        <v>75</v>
      </c>
      <c r="Y159">
        <v>17</v>
      </c>
      <c r="Z159">
        <v>12</v>
      </c>
      <c r="AA159">
        <v>5</v>
      </c>
      <c r="AB159">
        <v>23</v>
      </c>
      <c r="AC159">
        <v>39</v>
      </c>
      <c r="AD159">
        <v>129</v>
      </c>
    </row>
    <row r="160" spans="1:30" x14ac:dyDescent="0.3">
      <c r="A160">
        <v>121</v>
      </c>
      <c r="B160" t="s">
        <v>2111</v>
      </c>
      <c r="C160" t="s">
        <v>1981</v>
      </c>
      <c r="D160">
        <v>26</v>
      </c>
      <c r="E160" t="s">
        <v>1990</v>
      </c>
      <c r="F160">
        <v>26</v>
      </c>
      <c r="G160">
        <v>4</v>
      </c>
      <c r="H160">
        <v>268</v>
      </c>
      <c r="I160">
        <v>40</v>
      </c>
      <c r="J160">
        <v>115</v>
      </c>
      <c r="K160">
        <v>0.34799999999999998</v>
      </c>
      <c r="L160">
        <v>19</v>
      </c>
      <c r="M160">
        <v>57</v>
      </c>
      <c r="N160">
        <v>0.33300000000000002</v>
      </c>
      <c r="O160">
        <v>21</v>
      </c>
      <c r="P160">
        <v>58</v>
      </c>
      <c r="Q160">
        <v>0.36199999999999999</v>
      </c>
      <c r="R160">
        <v>0.43</v>
      </c>
      <c r="S160">
        <v>4</v>
      </c>
      <c r="T160">
        <v>4</v>
      </c>
      <c r="U160">
        <v>1</v>
      </c>
      <c r="V160">
        <v>6</v>
      </c>
      <c r="W160">
        <v>55</v>
      </c>
      <c r="X160">
        <v>61</v>
      </c>
      <c r="Y160">
        <v>9</v>
      </c>
      <c r="Z160">
        <v>8</v>
      </c>
      <c r="AA160">
        <v>3</v>
      </c>
      <c r="AB160">
        <v>18</v>
      </c>
      <c r="AC160">
        <v>30</v>
      </c>
      <c r="AD160">
        <v>103</v>
      </c>
    </row>
    <row r="161" spans="1:30" x14ac:dyDescent="0.3">
      <c r="A161">
        <v>121</v>
      </c>
      <c r="B161" t="s">
        <v>2111</v>
      </c>
      <c r="C161" t="s">
        <v>1981</v>
      </c>
      <c r="D161">
        <v>26</v>
      </c>
      <c r="E161" t="s">
        <v>1998</v>
      </c>
      <c r="F161">
        <v>8</v>
      </c>
      <c r="G161">
        <v>0</v>
      </c>
      <c r="H161">
        <v>76</v>
      </c>
      <c r="I161">
        <v>10</v>
      </c>
      <c r="J161">
        <v>26</v>
      </c>
      <c r="K161">
        <v>0.38500000000000001</v>
      </c>
      <c r="L161">
        <v>5</v>
      </c>
      <c r="M161">
        <v>14</v>
      </c>
      <c r="N161">
        <v>0.35699999999999998</v>
      </c>
      <c r="O161">
        <v>5</v>
      </c>
      <c r="P161">
        <v>12</v>
      </c>
      <c r="Q161">
        <v>0.41699999999999998</v>
      </c>
      <c r="R161">
        <v>0.48099999999999998</v>
      </c>
      <c r="S161">
        <v>1</v>
      </c>
      <c r="T161">
        <v>2</v>
      </c>
      <c r="U161">
        <v>0.5</v>
      </c>
      <c r="V161">
        <v>4</v>
      </c>
      <c r="W161">
        <v>10</v>
      </c>
      <c r="X161">
        <v>14</v>
      </c>
      <c r="Y161">
        <v>8</v>
      </c>
      <c r="Z161">
        <v>4</v>
      </c>
      <c r="AA161">
        <v>2</v>
      </c>
      <c r="AB161">
        <v>5</v>
      </c>
      <c r="AC161">
        <v>9</v>
      </c>
      <c r="AD161">
        <v>26</v>
      </c>
    </row>
    <row r="162" spans="1:30" x14ac:dyDescent="0.3">
      <c r="A162">
        <v>122</v>
      </c>
      <c r="B162" t="s">
        <v>2112</v>
      </c>
      <c r="C162" t="s">
        <v>213</v>
      </c>
      <c r="D162">
        <v>25</v>
      </c>
      <c r="E162" t="s">
        <v>2113</v>
      </c>
      <c r="F162">
        <v>59</v>
      </c>
      <c r="G162">
        <v>15</v>
      </c>
      <c r="H162">
        <v>845</v>
      </c>
      <c r="I162">
        <v>91</v>
      </c>
      <c r="J162">
        <v>162</v>
      </c>
      <c r="K162">
        <v>0.56200000000000006</v>
      </c>
      <c r="L162">
        <v>0</v>
      </c>
      <c r="M162">
        <v>1</v>
      </c>
      <c r="N162">
        <v>0</v>
      </c>
      <c r="O162">
        <v>91</v>
      </c>
      <c r="P162">
        <v>161</v>
      </c>
      <c r="Q162">
        <v>0.56499999999999995</v>
      </c>
      <c r="R162">
        <v>0.56200000000000006</v>
      </c>
      <c r="S162">
        <v>34</v>
      </c>
      <c r="T162">
        <v>64</v>
      </c>
      <c r="U162">
        <v>0.53100000000000003</v>
      </c>
      <c r="V162">
        <v>118</v>
      </c>
      <c r="W162">
        <v>177</v>
      </c>
      <c r="X162">
        <v>295</v>
      </c>
      <c r="Y162">
        <v>9</v>
      </c>
      <c r="Z162">
        <v>16</v>
      </c>
      <c r="AA162">
        <v>50</v>
      </c>
      <c r="AB162">
        <v>51</v>
      </c>
      <c r="AC162">
        <v>141</v>
      </c>
      <c r="AD162">
        <v>216</v>
      </c>
    </row>
    <row r="163" spans="1:30" x14ac:dyDescent="0.3">
      <c r="A163">
        <v>123</v>
      </c>
      <c r="B163" t="s">
        <v>2114</v>
      </c>
      <c r="C163" t="s">
        <v>1961</v>
      </c>
      <c r="D163">
        <v>24</v>
      </c>
      <c r="E163" t="s">
        <v>1984</v>
      </c>
      <c r="F163">
        <v>67</v>
      </c>
      <c r="G163">
        <v>13</v>
      </c>
      <c r="H163">
        <v>1380</v>
      </c>
      <c r="I163">
        <v>111</v>
      </c>
      <c r="J163">
        <v>307</v>
      </c>
      <c r="K163">
        <v>0.36199999999999999</v>
      </c>
      <c r="L163">
        <v>68</v>
      </c>
      <c r="M163">
        <v>167</v>
      </c>
      <c r="N163">
        <v>0.40699999999999997</v>
      </c>
      <c r="O163">
        <v>43</v>
      </c>
      <c r="P163">
        <v>140</v>
      </c>
      <c r="Q163">
        <v>0.307</v>
      </c>
      <c r="R163">
        <v>0.47199999999999998</v>
      </c>
      <c r="S163">
        <v>29</v>
      </c>
      <c r="T163">
        <v>38</v>
      </c>
      <c r="U163">
        <v>0.76300000000000001</v>
      </c>
      <c r="V163">
        <v>37</v>
      </c>
      <c r="W163">
        <v>89</v>
      </c>
      <c r="X163">
        <v>126</v>
      </c>
      <c r="Y163">
        <v>204</v>
      </c>
      <c r="Z163">
        <v>24</v>
      </c>
      <c r="AA163">
        <v>2</v>
      </c>
      <c r="AB163">
        <v>61</v>
      </c>
      <c r="AC163">
        <v>152</v>
      </c>
      <c r="AD163">
        <v>319</v>
      </c>
    </row>
    <row r="164" spans="1:30" x14ac:dyDescent="0.3">
      <c r="A164">
        <v>124</v>
      </c>
      <c r="B164" t="s">
        <v>2115</v>
      </c>
      <c r="C164" t="s">
        <v>1981</v>
      </c>
      <c r="D164">
        <v>29</v>
      </c>
      <c r="E164" t="s">
        <v>1986</v>
      </c>
      <c r="F164">
        <v>72</v>
      </c>
      <c r="G164">
        <v>72</v>
      </c>
      <c r="H164">
        <v>2421</v>
      </c>
      <c r="I164">
        <v>369</v>
      </c>
      <c r="J164">
        <v>787</v>
      </c>
      <c r="K164">
        <v>0.46899999999999997</v>
      </c>
      <c r="L164">
        <v>78</v>
      </c>
      <c r="M164">
        <v>220</v>
      </c>
      <c r="N164">
        <v>0.35499999999999998</v>
      </c>
      <c r="O164">
        <v>291</v>
      </c>
      <c r="P164">
        <v>567</v>
      </c>
      <c r="Q164">
        <v>0.51300000000000001</v>
      </c>
      <c r="R164">
        <v>0.51800000000000002</v>
      </c>
      <c r="S164">
        <v>191</v>
      </c>
      <c r="T164">
        <v>251</v>
      </c>
      <c r="U164">
        <v>0.76100000000000001</v>
      </c>
      <c r="V164">
        <v>103</v>
      </c>
      <c r="W164">
        <v>273</v>
      </c>
      <c r="X164">
        <v>376</v>
      </c>
      <c r="Y164">
        <v>139</v>
      </c>
      <c r="Z164">
        <v>65</v>
      </c>
      <c r="AA164">
        <v>22</v>
      </c>
      <c r="AB164">
        <v>108</v>
      </c>
      <c r="AC164">
        <v>109</v>
      </c>
      <c r="AD164">
        <v>1007</v>
      </c>
    </row>
    <row r="165" spans="1:30" x14ac:dyDescent="0.3">
      <c r="A165">
        <v>125</v>
      </c>
      <c r="B165" t="s">
        <v>2116</v>
      </c>
      <c r="C165" t="s">
        <v>1961</v>
      </c>
      <c r="D165">
        <v>25</v>
      </c>
      <c r="E165" t="s">
        <v>2068</v>
      </c>
      <c r="F165">
        <v>60</v>
      </c>
      <c r="G165">
        <v>60</v>
      </c>
      <c r="H165">
        <v>2100</v>
      </c>
      <c r="I165">
        <v>409</v>
      </c>
      <c r="J165">
        <v>990</v>
      </c>
      <c r="K165">
        <v>0.41299999999999998</v>
      </c>
      <c r="L165">
        <v>25</v>
      </c>
      <c r="M165">
        <v>88</v>
      </c>
      <c r="N165">
        <v>0.28399999999999997</v>
      </c>
      <c r="O165">
        <v>384</v>
      </c>
      <c r="P165">
        <v>902</v>
      </c>
      <c r="Q165">
        <v>0.42599999999999999</v>
      </c>
      <c r="R165">
        <v>0.42599999999999999</v>
      </c>
      <c r="S165">
        <v>361</v>
      </c>
      <c r="T165">
        <v>434</v>
      </c>
      <c r="U165">
        <v>0.83199999999999996</v>
      </c>
      <c r="V165">
        <v>41</v>
      </c>
      <c r="W165">
        <v>236</v>
      </c>
      <c r="X165">
        <v>277</v>
      </c>
      <c r="Y165">
        <v>210</v>
      </c>
      <c r="Z165">
        <v>73</v>
      </c>
      <c r="AA165">
        <v>11</v>
      </c>
      <c r="AB165">
        <v>137</v>
      </c>
      <c r="AC165">
        <v>122</v>
      </c>
      <c r="AD165">
        <v>1204</v>
      </c>
    </row>
    <row r="166" spans="1:30" x14ac:dyDescent="0.3">
      <c r="A166">
        <v>126</v>
      </c>
      <c r="B166" t="s">
        <v>2117</v>
      </c>
      <c r="C166" t="s">
        <v>1956</v>
      </c>
      <c r="D166">
        <v>32</v>
      </c>
      <c r="E166" t="s">
        <v>1990</v>
      </c>
      <c r="F166">
        <v>81</v>
      </c>
      <c r="G166">
        <v>15</v>
      </c>
      <c r="H166">
        <v>1984</v>
      </c>
      <c r="I166">
        <v>291</v>
      </c>
      <c r="J166">
        <v>632</v>
      </c>
      <c r="K166">
        <v>0.46</v>
      </c>
      <c r="L166">
        <v>54</v>
      </c>
      <c r="M166">
        <v>169</v>
      </c>
      <c r="N166">
        <v>0.32</v>
      </c>
      <c r="O166">
        <v>237</v>
      </c>
      <c r="P166">
        <v>463</v>
      </c>
      <c r="Q166">
        <v>0.51200000000000001</v>
      </c>
      <c r="R166">
        <v>0.503</v>
      </c>
      <c r="S166">
        <v>72</v>
      </c>
      <c r="T166">
        <v>93</v>
      </c>
      <c r="U166">
        <v>0.77400000000000002</v>
      </c>
      <c r="V166">
        <v>78</v>
      </c>
      <c r="W166">
        <v>270</v>
      </c>
      <c r="X166">
        <v>348</v>
      </c>
      <c r="Y166">
        <v>233</v>
      </c>
      <c r="Z166">
        <v>36</v>
      </c>
      <c r="AA166">
        <v>23</v>
      </c>
      <c r="AB166">
        <v>126</v>
      </c>
      <c r="AC166">
        <v>148</v>
      </c>
      <c r="AD166">
        <v>708</v>
      </c>
    </row>
    <row r="167" spans="1:30" x14ac:dyDescent="0.3">
      <c r="A167">
        <v>127</v>
      </c>
      <c r="B167" t="s">
        <v>2118</v>
      </c>
      <c r="C167" t="s">
        <v>213</v>
      </c>
      <c r="D167">
        <v>25</v>
      </c>
      <c r="E167" t="s">
        <v>1966</v>
      </c>
      <c r="F167">
        <v>73</v>
      </c>
      <c r="G167">
        <v>49</v>
      </c>
      <c r="H167">
        <v>2193</v>
      </c>
      <c r="I167">
        <v>259</v>
      </c>
      <c r="J167">
        <v>512</v>
      </c>
      <c r="K167">
        <v>0.50600000000000001</v>
      </c>
      <c r="L167">
        <v>1</v>
      </c>
      <c r="M167">
        <v>6</v>
      </c>
      <c r="N167">
        <v>0.16700000000000001</v>
      </c>
      <c r="O167">
        <v>258</v>
      </c>
      <c r="P167">
        <v>506</v>
      </c>
      <c r="Q167">
        <v>0.51</v>
      </c>
      <c r="R167">
        <v>0.50700000000000001</v>
      </c>
      <c r="S167">
        <v>191</v>
      </c>
      <c r="T167">
        <v>244</v>
      </c>
      <c r="U167">
        <v>0.78300000000000003</v>
      </c>
      <c r="V167">
        <v>223</v>
      </c>
      <c r="W167">
        <v>386</v>
      </c>
      <c r="X167">
        <v>609</v>
      </c>
      <c r="Y167">
        <v>146</v>
      </c>
      <c r="Z167">
        <v>71</v>
      </c>
      <c r="AA167">
        <v>126</v>
      </c>
      <c r="AB167">
        <v>126</v>
      </c>
      <c r="AC167">
        <v>188</v>
      </c>
      <c r="AD167">
        <v>710</v>
      </c>
    </row>
    <row r="168" spans="1:30" x14ac:dyDescent="0.3">
      <c r="A168">
        <v>128</v>
      </c>
      <c r="B168" t="s">
        <v>2119</v>
      </c>
      <c r="C168" t="s">
        <v>2004</v>
      </c>
      <c r="D168">
        <v>21</v>
      </c>
      <c r="E168" t="s">
        <v>1996</v>
      </c>
      <c r="F168">
        <v>34</v>
      </c>
      <c r="G168">
        <v>1</v>
      </c>
      <c r="H168">
        <v>455</v>
      </c>
      <c r="I168">
        <v>51</v>
      </c>
      <c r="J168">
        <v>169</v>
      </c>
      <c r="K168">
        <v>0.30199999999999999</v>
      </c>
      <c r="L168">
        <v>12</v>
      </c>
      <c r="M168">
        <v>65</v>
      </c>
      <c r="N168">
        <v>0.185</v>
      </c>
      <c r="O168">
        <v>39</v>
      </c>
      <c r="P168">
        <v>104</v>
      </c>
      <c r="Q168">
        <v>0.375</v>
      </c>
      <c r="R168">
        <v>0.33700000000000002</v>
      </c>
      <c r="S168">
        <v>31</v>
      </c>
      <c r="T168">
        <v>34</v>
      </c>
      <c r="U168">
        <v>0.91200000000000003</v>
      </c>
      <c r="V168">
        <v>4</v>
      </c>
      <c r="W168">
        <v>44</v>
      </c>
      <c r="X168">
        <v>48</v>
      </c>
      <c r="Y168">
        <v>104</v>
      </c>
      <c r="Z168">
        <v>19</v>
      </c>
      <c r="AA168">
        <v>6</v>
      </c>
      <c r="AB168">
        <v>33</v>
      </c>
      <c r="AC168">
        <v>53</v>
      </c>
      <c r="AD168">
        <v>145</v>
      </c>
    </row>
    <row r="169" spans="1:30" x14ac:dyDescent="0.3">
      <c r="A169">
        <v>129</v>
      </c>
      <c r="B169" t="s">
        <v>2120</v>
      </c>
      <c r="C169" t="s">
        <v>1956</v>
      </c>
      <c r="D169">
        <v>31</v>
      </c>
      <c r="E169" t="s">
        <v>2000</v>
      </c>
      <c r="F169">
        <v>69</v>
      </c>
      <c r="G169">
        <v>17</v>
      </c>
      <c r="H169">
        <v>854</v>
      </c>
      <c r="I169">
        <v>80</v>
      </c>
      <c r="J169">
        <v>145</v>
      </c>
      <c r="K169">
        <v>0.55200000000000005</v>
      </c>
      <c r="L169">
        <v>0</v>
      </c>
      <c r="M169">
        <v>1</v>
      </c>
      <c r="N169">
        <v>0</v>
      </c>
      <c r="O169">
        <v>80</v>
      </c>
      <c r="P169">
        <v>144</v>
      </c>
      <c r="Q169">
        <v>0.55600000000000005</v>
      </c>
      <c r="R169">
        <v>0.55200000000000005</v>
      </c>
      <c r="S169">
        <v>24</v>
      </c>
      <c r="T169">
        <v>83</v>
      </c>
      <c r="U169">
        <v>0.28899999999999998</v>
      </c>
      <c r="V169">
        <v>103</v>
      </c>
      <c r="W169">
        <v>176</v>
      </c>
      <c r="X169">
        <v>279</v>
      </c>
      <c r="Y169">
        <v>25</v>
      </c>
      <c r="Z169">
        <v>40</v>
      </c>
      <c r="AA169">
        <v>25</v>
      </c>
      <c r="AB169">
        <v>41</v>
      </c>
      <c r="AC169">
        <v>157</v>
      </c>
      <c r="AD169">
        <v>184</v>
      </c>
    </row>
    <row r="170" spans="1:30" x14ac:dyDescent="0.3">
      <c r="A170">
        <v>130</v>
      </c>
      <c r="B170" t="s">
        <v>2121</v>
      </c>
      <c r="C170" t="s">
        <v>1961</v>
      </c>
      <c r="D170">
        <v>28</v>
      </c>
      <c r="E170" t="s">
        <v>1972</v>
      </c>
      <c r="F170">
        <v>12</v>
      </c>
      <c r="G170">
        <v>0</v>
      </c>
      <c r="H170">
        <v>177</v>
      </c>
      <c r="I170">
        <v>19</v>
      </c>
      <c r="J170">
        <v>51</v>
      </c>
      <c r="K170">
        <v>0.373</v>
      </c>
      <c r="L170">
        <v>5</v>
      </c>
      <c r="M170">
        <v>18</v>
      </c>
      <c r="N170">
        <v>0.27800000000000002</v>
      </c>
      <c r="O170">
        <v>14</v>
      </c>
      <c r="P170">
        <v>33</v>
      </c>
      <c r="Q170">
        <v>0.42399999999999999</v>
      </c>
      <c r="R170">
        <v>0.42199999999999999</v>
      </c>
      <c r="S170">
        <v>8</v>
      </c>
      <c r="T170">
        <v>13</v>
      </c>
      <c r="U170">
        <v>0.61499999999999999</v>
      </c>
      <c r="V170">
        <v>2</v>
      </c>
      <c r="W170">
        <v>20</v>
      </c>
      <c r="X170">
        <v>22</v>
      </c>
      <c r="Y170">
        <v>24</v>
      </c>
      <c r="Z170">
        <v>11</v>
      </c>
      <c r="AA170">
        <v>4</v>
      </c>
      <c r="AB170">
        <v>10</v>
      </c>
      <c r="AC170">
        <v>20</v>
      </c>
      <c r="AD170">
        <v>51</v>
      </c>
    </row>
    <row r="171" spans="1:30" x14ac:dyDescent="0.3">
      <c r="A171">
        <v>131</v>
      </c>
      <c r="B171" t="s">
        <v>2122</v>
      </c>
      <c r="C171" t="s">
        <v>1961</v>
      </c>
      <c r="D171">
        <v>28</v>
      </c>
      <c r="E171" t="s">
        <v>2015</v>
      </c>
      <c r="F171">
        <v>12</v>
      </c>
      <c r="G171">
        <v>0</v>
      </c>
      <c r="H171">
        <v>103</v>
      </c>
      <c r="I171">
        <v>5</v>
      </c>
      <c r="J171">
        <v>21</v>
      </c>
      <c r="K171">
        <v>0.23799999999999999</v>
      </c>
      <c r="L171">
        <v>1</v>
      </c>
      <c r="M171">
        <v>7</v>
      </c>
      <c r="N171">
        <v>0.14299999999999999</v>
      </c>
      <c r="O171">
        <v>4</v>
      </c>
      <c r="P171">
        <v>14</v>
      </c>
      <c r="Q171">
        <v>0.28599999999999998</v>
      </c>
      <c r="R171">
        <v>0.26200000000000001</v>
      </c>
      <c r="S171">
        <v>8</v>
      </c>
      <c r="T171">
        <v>8</v>
      </c>
      <c r="U171">
        <v>1</v>
      </c>
      <c r="V171">
        <v>1</v>
      </c>
      <c r="W171">
        <v>11</v>
      </c>
      <c r="X171">
        <v>12</v>
      </c>
      <c r="Y171">
        <v>4</v>
      </c>
      <c r="Z171">
        <v>1</v>
      </c>
      <c r="AA171">
        <v>0</v>
      </c>
      <c r="AB171">
        <v>0</v>
      </c>
      <c r="AC171">
        <v>14</v>
      </c>
      <c r="AD171">
        <v>19</v>
      </c>
    </row>
    <row r="172" spans="1:30" x14ac:dyDescent="0.3">
      <c r="A172">
        <v>132</v>
      </c>
      <c r="B172" t="s">
        <v>2123</v>
      </c>
      <c r="C172" t="s">
        <v>2124</v>
      </c>
      <c r="D172">
        <v>28</v>
      </c>
      <c r="E172" t="s">
        <v>1968</v>
      </c>
      <c r="F172">
        <v>78</v>
      </c>
      <c r="G172">
        <v>78</v>
      </c>
      <c r="H172">
        <v>2640</v>
      </c>
      <c r="I172">
        <v>502</v>
      </c>
      <c r="J172">
        <v>1002</v>
      </c>
      <c r="K172">
        <v>0.501</v>
      </c>
      <c r="L172">
        <v>90</v>
      </c>
      <c r="M172">
        <v>259</v>
      </c>
      <c r="N172">
        <v>0.34699999999999998</v>
      </c>
      <c r="O172">
        <v>412</v>
      </c>
      <c r="P172">
        <v>743</v>
      </c>
      <c r="Q172">
        <v>0.55500000000000005</v>
      </c>
      <c r="R172">
        <v>0.54600000000000004</v>
      </c>
      <c r="S172">
        <v>181</v>
      </c>
      <c r="T172">
        <v>234</v>
      </c>
      <c r="U172">
        <v>0.77400000000000002</v>
      </c>
      <c r="V172">
        <v>81</v>
      </c>
      <c r="W172">
        <v>193</v>
      </c>
      <c r="X172">
        <v>274</v>
      </c>
      <c r="Y172">
        <v>350</v>
      </c>
      <c r="Z172">
        <v>78</v>
      </c>
      <c r="AA172">
        <v>15</v>
      </c>
      <c r="AB172">
        <v>173</v>
      </c>
      <c r="AC172">
        <v>195</v>
      </c>
      <c r="AD172">
        <v>1275</v>
      </c>
    </row>
    <row r="173" spans="1:30" x14ac:dyDescent="0.3">
      <c r="A173">
        <v>132</v>
      </c>
      <c r="B173" t="s">
        <v>2123</v>
      </c>
      <c r="C173" t="s">
        <v>1961</v>
      </c>
      <c r="D173">
        <v>28</v>
      </c>
      <c r="E173" t="s">
        <v>2017</v>
      </c>
      <c r="F173">
        <v>52</v>
      </c>
      <c r="G173">
        <v>52</v>
      </c>
      <c r="H173">
        <v>1735</v>
      </c>
      <c r="I173">
        <v>340</v>
      </c>
      <c r="J173">
        <v>679</v>
      </c>
      <c r="K173">
        <v>0.501</v>
      </c>
      <c r="L173">
        <v>66</v>
      </c>
      <c r="M173">
        <v>186</v>
      </c>
      <c r="N173">
        <v>0.35499999999999998</v>
      </c>
      <c r="O173">
        <v>274</v>
      </c>
      <c r="P173">
        <v>493</v>
      </c>
      <c r="Q173">
        <v>0.55600000000000005</v>
      </c>
      <c r="R173">
        <v>0.54900000000000004</v>
      </c>
      <c r="S173">
        <v>97</v>
      </c>
      <c r="T173">
        <v>130</v>
      </c>
      <c r="U173">
        <v>0.746</v>
      </c>
      <c r="V173">
        <v>51</v>
      </c>
      <c r="W173">
        <v>134</v>
      </c>
      <c r="X173">
        <v>185</v>
      </c>
      <c r="Y173">
        <v>211</v>
      </c>
      <c r="Z173">
        <v>50</v>
      </c>
      <c r="AA173">
        <v>9</v>
      </c>
      <c r="AB173">
        <v>114</v>
      </c>
      <c r="AC173">
        <v>120</v>
      </c>
      <c r="AD173">
        <v>843</v>
      </c>
    </row>
    <row r="174" spans="1:30" x14ac:dyDescent="0.3">
      <c r="A174">
        <v>132</v>
      </c>
      <c r="B174" t="s">
        <v>2123</v>
      </c>
      <c r="C174" t="s">
        <v>2004</v>
      </c>
      <c r="D174">
        <v>28</v>
      </c>
      <c r="E174" t="s">
        <v>1986</v>
      </c>
      <c r="F174">
        <v>26</v>
      </c>
      <c r="G174">
        <v>26</v>
      </c>
      <c r="H174">
        <v>905</v>
      </c>
      <c r="I174">
        <v>162</v>
      </c>
      <c r="J174">
        <v>323</v>
      </c>
      <c r="K174">
        <v>0.502</v>
      </c>
      <c r="L174">
        <v>24</v>
      </c>
      <c r="M174">
        <v>73</v>
      </c>
      <c r="N174">
        <v>0.32900000000000001</v>
      </c>
      <c r="O174">
        <v>138</v>
      </c>
      <c r="P174">
        <v>250</v>
      </c>
      <c r="Q174">
        <v>0.55200000000000005</v>
      </c>
      <c r="R174">
        <v>0.53900000000000003</v>
      </c>
      <c r="S174">
        <v>84</v>
      </c>
      <c r="T174">
        <v>104</v>
      </c>
      <c r="U174">
        <v>0.80800000000000005</v>
      </c>
      <c r="V174">
        <v>30</v>
      </c>
      <c r="W174">
        <v>59</v>
      </c>
      <c r="X174">
        <v>89</v>
      </c>
      <c r="Y174">
        <v>139</v>
      </c>
      <c r="Z174">
        <v>28</v>
      </c>
      <c r="AA174">
        <v>6</v>
      </c>
      <c r="AB174">
        <v>59</v>
      </c>
      <c r="AC174">
        <v>75</v>
      </c>
      <c r="AD174">
        <v>432</v>
      </c>
    </row>
    <row r="175" spans="1:30" x14ac:dyDescent="0.3">
      <c r="A175">
        <v>133</v>
      </c>
      <c r="B175" t="s">
        <v>2125</v>
      </c>
      <c r="C175" t="s">
        <v>1961</v>
      </c>
      <c r="D175">
        <v>25</v>
      </c>
      <c r="E175" t="s">
        <v>1968</v>
      </c>
      <c r="F175">
        <v>16</v>
      </c>
      <c r="G175">
        <v>1</v>
      </c>
      <c r="H175">
        <v>75</v>
      </c>
      <c r="I175">
        <v>11</v>
      </c>
      <c r="J175">
        <v>30</v>
      </c>
      <c r="K175">
        <v>0.36699999999999999</v>
      </c>
      <c r="L175">
        <v>3</v>
      </c>
      <c r="M175">
        <v>14</v>
      </c>
      <c r="N175">
        <v>0.214</v>
      </c>
      <c r="O175">
        <v>8</v>
      </c>
      <c r="P175">
        <v>16</v>
      </c>
      <c r="Q175">
        <v>0.5</v>
      </c>
      <c r="R175">
        <v>0.41699999999999998</v>
      </c>
      <c r="S175">
        <v>3</v>
      </c>
      <c r="T175">
        <v>5</v>
      </c>
      <c r="U175">
        <v>0.6</v>
      </c>
      <c r="V175">
        <v>5</v>
      </c>
      <c r="W175">
        <v>3</v>
      </c>
      <c r="X175">
        <v>8</v>
      </c>
      <c r="Y175">
        <v>5</v>
      </c>
      <c r="Z175">
        <v>2</v>
      </c>
      <c r="AA175">
        <v>0</v>
      </c>
      <c r="AB175">
        <v>5</v>
      </c>
      <c r="AC175">
        <v>6</v>
      </c>
      <c r="AD175">
        <v>28</v>
      </c>
    </row>
    <row r="176" spans="1:30" x14ac:dyDescent="0.3">
      <c r="A176">
        <v>133</v>
      </c>
      <c r="B176" t="s">
        <v>2125</v>
      </c>
      <c r="C176" t="s">
        <v>1961</v>
      </c>
      <c r="D176">
        <v>25</v>
      </c>
      <c r="E176" t="s">
        <v>2017</v>
      </c>
      <c r="F176">
        <v>6</v>
      </c>
      <c r="G176">
        <v>0</v>
      </c>
      <c r="H176">
        <v>13</v>
      </c>
      <c r="I176">
        <v>2</v>
      </c>
      <c r="J176">
        <v>8</v>
      </c>
      <c r="K176">
        <v>0.25</v>
      </c>
      <c r="L176">
        <v>0</v>
      </c>
      <c r="M176">
        <v>5</v>
      </c>
      <c r="N176">
        <v>0</v>
      </c>
      <c r="O176">
        <v>2</v>
      </c>
      <c r="P176">
        <v>3</v>
      </c>
      <c r="Q176">
        <v>0.66700000000000004</v>
      </c>
      <c r="R176">
        <v>0.25</v>
      </c>
      <c r="S176">
        <v>2</v>
      </c>
      <c r="T176">
        <v>3</v>
      </c>
      <c r="U176">
        <v>0.66700000000000004</v>
      </c>
      <c r="V176">
        <v>2</v>
      </c>
      <c r="W176">
        <v>1</v>
      </c>
      <c r="X176">
        <v>3</v>
      </c>
      <c r="Y176">
        <v>1</v>
      </c>
      <c r="Z176">
        <v>0</v>
      </c>
      <c r="AA176">
        <v>0</v>
      </c>
      <c r="AB176">
        <v>0</v>
      </c>
      <c r="AC176">
        <v>1</v>
      </c>
      <c r="AD176">
        <v>6</v>
      </c>
    </row>
    <row r="177" spans="1:30" x14ac:dyDescent="0.3">
      <c r="A177">
        <v>133</v>
      </c>
      <c r="B177" t="s">
        <v>2125</v>
      </c>
      <c r="C177" t="s">
        <v>1961</v>
      </c>
      <c r="D177">
        <v>25</v>
      </c>
      <c r="E177" t="s">
        <v>1986</v>
      </c>
      <c r="F177">
        <v>10</v>
      </c>
      <c r="G177">
        <v>1</v>
      </c>
      <c r="H177">
        <v>62</v>
      </c>
      <c r="I177">
        <v>9</v>
      </c>
      <c r="J177">
        <v>22</v>
      </c>
      <c r="K177">
        <v>0.40899999999999997</v>
      </c>
      <c r="L177">
        <v>3</v>
      </c>
      <c r="M177">
        <v>9</v>
      </c>
      <c r="N177">
        <v>0.33300000000000002</v>
      </c>
      <c r="O177">
        <v>6</v>
      </c>
      <c r="P177">
        <v>13</v>
      </c>
      <c r="Q177">
        <v>0.46200000000000002</v>
      </c>
      <c r="R177">
        <v>0.47699999999999998</v>
      </c>
      <c r="S177">
        <v>1</v>
      </c>
      <c r="T177">
        <v>2</v>
      </c>
      <c r="U177">
        <v>0.5</v>
      </c>
      <c r="V177">
        <v>3</v>
      </c>
      <c r="W177">
        <v>2</v>
      </c>
      <c r="X177">
        <v>5</v>
      </c>
      <c r="Y177">
        <v>4</v>
      </c>
      <c r="Z177">
        <v>2</v>
      </c>
      <c r="AA177">
        <v>0</v>
      </c>
      <c r="AB177">
        <v>5</v>
      </c>
      <c r="AC177">
        <v>5</v>
      </c>
      <c r="AD177">
        <v>22</v>
      </c>
    </row>
    <row r="178" spans="1:30" x14ac:dyDescent="0.3">
      <c r="A178">
        <v>134</v>
      </c>
      <c r="B178" t="s">
        <v>2126</v>
      </c>
      <c r="C178" t="s">
        <v>2004</v>
      </c>
      <c r="D178">
        <v>24</v>
      </c>
      <c r="E178" t="s">
        <v>1974</v>
      </c>
      <c r="F178">
        <v>12</v>
      </c>
      <c r="G178">
        <v>1</v>
      </c>
      <c r="H178">
        <v>219</v>
      </c>
      <c r="I178">
        <v>20</v>
      </c>
      <c r="J178">
        <v>58</v>
      </c>
      <c r="K178">
        <v>0.34499999999999997</v>
      </c>
      <c r="L178">
        <v>4</v>
      </c>
      <c r="M178">
        <v>26</v>
      </c>
      <c r="N178">
        <v>0.154</v>
      </c>
      <c r="O178">
        <v>16</v>
      </c>
      <c r="P178">
        <v>32</v>
      </c>
      <c r="Q178">
        <v>0.5</v>
      </c>
      <c r="R178">
        <v>0.379</v>
      </c>
      <c r="S178">
        <v>2</v>
      </c>
      <c r="T178">
        <v>3</v>
      </c>
      <c r="U178">
        <v>0.66700000000000004</v>
      </c>
      <c r="V178">
        <v>1</v>
      </c>
      <c r="W178">
        <v>14</v>
      </c>
      <c r="X178">
        <v>15</v>
      </c>
      <c r="Y178">
        <v>45</v>
      </c>
      <c r="Z178">
        <v>6</v>
      </c>
      <c r="AA178">
        <v>0</v>
      </c>
      <c r="AB178">
        <v>25</v>
      </c>
      <c r="AC178">
        <v>13</v>
      </c>
      <c r="AD178">
        <v>46</v>
      </c>
    </row>
    <row r="179" spans="1:30" x14ac:dyDescent="0.3">
      <c r="A179">
        <v>135</v>
      </c>
      <c r="B179" t="s">
        <v>2127</v>
      </c>
      <c r="C179" t="s">
        <v>213</v>
      </c>
      <c r="D179">
        <v>21</v>
      </c>
      <c r="E179" t="s">
        <v>1996</v>
      </c>
      <c r="F179">
        <v>82</v>
      </c>
      <c r="G179">
        <v>82</v>
      </c>
      <c r="H179">
        <v>2502</v>
      </c>
      <c r="I179">
        <v>494</v>
      </c>
      <c r="J179">
        <v>961</v>
      </c>
      <c r="K179">
        <v>0.51400000000000001</v>
      </c>
      <c r="L179">
        <v>0</v>
      </c>
      <c r="M179">
        <v>2</v>
      </c>
      <c r="N179">
        <v>0</v>
      </c>
      <c r="O179">
        <v>494</v>
      </c>
      <c r="P179">
        <v>959</v>
      </c>
      <c r="Q179">
        <v>0.51500000000000001</v>
      </c>
      <c r="R179">
        <v>0.51400000000000001</v>
      </c>
      <c r="S179">
        <v>142</v>
      </c>
      <c r="T179">
        <v>365</v>
      </c>
      <c r="U179">
        <v>0.38900000000000001</v>
      </c>
      <c r="V179">
        <v>437</v>
      </c>
      <c r="W179">
        <v>667</v>
      </c>
      <c r="X179">
        <v>1104</v>
      </c>
      <c r="Y179">
        <v>55</v>
      </c>
      <c r="Z179">
        <v>73</v>
      </c>
      <c r="AA179">
        <v>153</v>
      </c>
      <c r="AB179">
        <v>120</v>
      </c>
      <c r="AC179">
        <v>285</v>
      </c>
      <c r="AD179">
        <v>1130</v>
      </c>
    </row>
    <row r="180" spans="1:30" x14ac:dyDescent="0.3">
      <c r="A180">
        <v>136</v>
      </c>
      <c r="B180" t="s">
        <v>2128</v>
      </c>
      <c r="C180" t="s">
        <v>1961</v>
      </c>
      <c r="D180">
        <v>29</v>
      </c>
      <c r="E180" t="s">
        <v>1993</v>
      </c>
      <c r="F180">
        <v>72</v>
      </c>
      <c r="G180">
        <v>22</v>
      </c>
      <c r="H180">
        <v>1717</v>
      </c>
      <c r="I180">
        <v>198</v>
      </c>
      <c r="J180">
        <v>423</v>
      </c>
      <c r="K180">
        <v>0.46800000000000003</v>
      </c>
      <c r="L180">
        <v>74</v>
      </c>
      <c r="M180">
        <v>192</v>
      </c>
      <c r="N180">
        <v>0.38500000000000001</v>
      </c>
      <c r="O180">
        <v>124</v>
      </c>
      <c r="P180">
        <v>231</v>
      </c>
      <c r="Q180">
        <v>0.53700000000000003</v>
      </c>
      <c r="R180">
        <v>0.55600000000000005</v>
      </c>
      <c r="S180">
        <v>48</v>
      </c>
      <c r="T180">
        <v>67</v>
      </c>
      <c r="U180">
        <v>0.71599999999999997</v>
      </c>
      <c r="V180">
        <v>45</v>
      </c>
      <c r="W180">
        <v>175</v>
      </c>
      <c r="X180">
        <v>220</v>
      </c>
      <c r="Y180">
        <v>130</v>
      </c>
      <c r="Z180">
        <v>72</v>
      </c>
      <c r="AA180">
        <v>11</v>
      </c>
      <c r="AB180">
        <v>62</v>
      </c>
      <c r="AC180">
        <v>113</v>
      </c>
      <c r="AD180">
        <v>518</v>
      </c>
    </row>
    <row r="181" spans="1:30" x14ac:dyDescent="0.3">
      <c r="A181">
        <v>137</v>
      </c>
      <c r="B181" t="s">
        <v>2129</v>
      </c>
      <c r="C181" t="s">
        <v>213</v>
      </c>
      <c r="D181">
        <v>38</v>
      </c>
      <c r="E181" t="s">
        <v>1990</v>
      </c>
      <c r="F181">
        <v>77</v>
      </c>
      <c r="G181">
        <v>77</v>
      </c>
      <c r="H181">
        <v>2227</v>
      </c>
      <c r="I181">
        <v>419</v>
      </c>
      <c r="J181">
        <v>819</v>
      </c>
      <c r="K181">
        <v>0.51200000000000001</v>
      </c>
      <c r="L181">
        <v>2</v>
      </c>
      <c r="M181">
        <v>7</v>
      </c>
      <c r="N181">
        <v>0.28599999999999998</v>
      </c>
      <c r="O181">
        <v>417</v>
      </c>
      <c r="P181">
        <v>812</v>
      </c>
      <c r="Q181">
        <v>0.51400000000000001</v>
      </c>
      <c r="R181">
        <v>0.51300000000000001</v>
      </c>
      <c r="S181">
        <v>230</v>
      </c>
      <c r="T181">
        <v>311</v>
      </c>
      <c r="U181">
        <v>0.74</v>
      </c>
      <c r="V181">
        <v>170</v>
      </c>
      <c r="W181">
        <v>534</v>
      </c>
      <c r="X181">
        <v>704</v>
      </c>
      <c r="Y181">
        <v>230</v>
      </c>
      <c r="Z181">
        <v>63</v>
      </c>
      <c r="AA181">
        <v>151</v>
      </c>
      <c r="AB181">
        <v>131</v>
      </c>
      <c r="AC181">
        <v>165</v>
      </c>
      <c r="AD181">
        <v>1070</v>
      </c>
    </row>
    <row r="182" spans="1:30" x14ac:dyDescent="0.3">
      <c r="A182">
        <v>138</v>
      </c>
      <c r="B182" t="s">
        <v>2130</v>
      </c>
      <c r="C182" t="s">
        <v>1981</v>
      </c>
      <c r="D182">
        <v>34</v>
      </c>
      <c r="E182" t="s">
        <v>2008</v>
      </c>
      <c r="F182">
        <v>63</v>
      </c>
      <c r="G182">
        <v>63</v>
      </c>
      <c r="H182">
        <v>1838</v>
      </c>
      <c r="I182">
        <v>209</v>
      </c>
      <c r="J182">
        <v>481</v>
      </c>
      <c r="K182">
        <v>0.435</v>
      </c>
      <c r="L182">
        <v>107</v>
      </c>
      <c r="M182">
        <v>263</v>
      </c>
      <c r="N182">
        <v>0.40699999999999997</v>
      </c>
      <c r="O182">
        <v>102</v>
      </c>
      <c r="P182">
        <v>218</v>
      </c>
      <c r="Q182">
        <v>0.46800000000000003</v>
      </c>
      <c r="R182">
        <v>0.54600000000000004</v>
      </c>
      <c r="S182">
        <v>70</v>
      </c>
      <c r="T182">
        <v>87</v>
      </c>
      <c r="U182">
        <v>0.80500000000000005</v>
      </c>
      <c r="V182">
        <v>28</v>
      </c>
      <c r="W182">
        <v>220</v>
      </c>
      <c r="X182">
        <v>248</v>
      </c>
      <c r="Y182">
        <v>114</v>
      </c>
      <c r="Z182">
        <v>39</v>
      </c>
      <c r="AA182">
        <v>21</v>
      </c>
      <c r="AB182">
        <v>60</v>
      </c>
      <c r="AC182">
        <v>123</v>
      </c>
      <c r="AD182">
        <v>595</v>
      </c>
    </row>
    <row r="183" spans="1:30" x14ac:dyDescent="0.3">
      <c r="A183">
        <v>139</v>
      </c>
      <c r="B183" t="s">
        <v>2131</v>
      </c>
      <c r="C183" t="s">
        <v>1981</v>
      </c>
      <c r="D183">
        <v>26</v>
      </c>
      <c r="E183" t="s">
        <v>1964</v>
      </c>
      <c r="F183">
        <v>27</v>
      </c>
      <c r="G183">
        <v>27</v>
      </c>
      <c r="H183">
        <v>913</v>
      </c>
      <c r="I183">
        <v>238</v>
      </c>
      <c r="J183">
        <v>467</v>
      </c>
      <c r="K183">
        <v>0.51</v>
      </c>
      <c r="L183">
        <v>64</v>
      </c>
      <c r="M183">
        <v>159</v>
      </c>
      <c r="N183">
        <v>0.40300000000000002</v>
      </c>
      <c r="O183">
        <v>174</v>
      </c>
      <c r="P183">
        <v>308</v>
      </c>
      <c r="Q183">
        <v>0.56499999999999995</v>
      </c>
      <c r="R183">
        <v>0.57799999999999996</v>
      </c>
      <c r="S183">
        <v>146</v>
      </c>
      <c r="T183">
        <v>171</v>
      </c>
      <c r="U183">
        <v>0.85399999999999998</v>
      </c>
      <c r="V183">
        <v>16</v>
      </c>
      <c r="W183">
        <v>162</v>
      </c>
      <c r="X183">
        <v>178</v>
      </c>
      <c r="Y183">
        <v>110</v>
      </c>
      <c r="Z183">
        <v>24</v>
      </c>
      <c r="AA183">
        <v>25</v>
      </c>
      <c r="AB183">
        <v>74</v>
      </c>
      <c r="AC183">
        <v>40</v>
      </c>
      <c r="AD183">
        <v>686</v>
      </c>
    </row>
    <row r="184" spans="1:30" x14ac:dyDescent="0.3">
      <c r="A184">
        <v>140</v>
      </c>
      <c r="B184" t="s">
        <v>2132</v>
      </c>
      <c r="C184" t="s">
        <v>1981</v>
      </c>
      <c r="D184">
        <v>23</v>
      </c>
      <c r="E184" t="s">
        <v>1959</v>
      </c>
      <c r="F184">
        <v>39</v>
      </c>
      <c r="G184">
        <v>7</v>
      </c>
      <c r="H184">
        <v>647</v>
      </c>
      <c r="I184">
        <v>76</v>
      </c>
      <c r="J184">
        <v>214</v>
      </c>
      <c r="K184">
        <v>0.35499999999999998</v>
      </c>
      <c r="L184">
        <v>22</v>
      </c>
      <c r="M184">
        <v>84</v>
      </c>
      <c r="N184">
        <v>0.26200000000000001</v>
      </c>
      <c r="O184">
        <v>54</v>
      </c>
      <c r="P184">
        <v>130</v>
      </c>
      <c r="Q184">
        <v>0.41499999999999998</v>
      </c>
      <c r="R184">
        <v>0.40699999999999997</v>
      </c>
      <c r="S184">
        <v>36</v>
      </c>
      <c r="T184">
        <v>48</v>
      </c>
      <c r="U184">
        <v>0.75</v>
      </c>
      <c r="V184">
        <v>22</v>
      </c>
      <c r="W184">
        <v>75</v>
      </c>
      <c r="X184">
        <v>97</v>
      </c>
      <c r="Y184">
        <v>36</v>
      </c>
      <c r="Z184">
        <v>24</v>
      </c>
      <c r="AA184">
        <v>12</v>
      </c>
      <c r="AB184">
        <v>40</v>
      </c>
      <c r="AC184">
        <v>57</v>
      </c>
      <c r="AD184">
        <v>210</v>
      </c>
    </row>
    <row r="185" spans="1:30" x14ac:dyDescent="0.3">
      <c r="A185" t="s">
        <v>1929</v>
      </c>
      <c r="B185" t="s">
        <v>1930</v>
      </c>
      <c r="C185" t="s">
        <v>1931</v>
      </c>
      <c r="D185" t="s">
        <v>198</v>
      </c>
      <c r="E185" t="s">
        <v>1932</v>
      </c>
      <c r="F185" t="s">
        <v>1933</v>
      </c>
      <c r="G185" t="s">
        <v>1934</v>
      </c>
      <c r="H185" t="s">
        <v>1935</v>
      </c>
      <c r="I185" t="s">
        <v>1936</v>
      </c>
      <c r="J185" t="s">
        <v>1937</v>
      </c>
      <c r="K185" t="s">
        <v>1938</v>
      </c>
      <c r="L185" t="s">
        <v>1939</v>
      </c>
      <c r="M185" t="s">
        <v>1940</v>
      </c>
      <c r="N185" t="s">
        <v>1941</v>
      </c>
      <c r="O185" t="s">
        <v>1942</v>
      </c>
      <c r="P185" t="s">
        <v>1943</v>
      </c>
      <c r="Q185" t="s">
        <v>1944</v>
      </c>
      <c r="R185" t="s">
        <v>1945</v>
      </c>
      <c r="S185" t="s">
        <v>1946</v>
      </c>
      <c r="T185" t="s">
        <v>1947</v>
      </c>
      <c r="U185" t="s">
        <v>1948</v>
      </c>
      <c r="V185" t="s">
        <v>1949</v>
      </c>
      <c r="W185" t="s">
        <v>1950</v>
      </c>
      <c r="X185" t="s">
        <v>1951</v>
      </c>
      <c r="Y185" t="s">
        <v>1952</v>
      </c>
      <c r="Z185" t="s">
        <v>1953</v>
      </c>
      <c r="AA185" t="s">
        <v>1954</v>
      </c>
      <c r="AB185" t="s">
        <v>1955</v>
      </c>
      <c r="AC185" t="s">
        <v>1956</v>
      </c>
      <c r="AD185" t="s">
        <v>1957</v>
      </c>
    </row>
    <row r="186" spans="1:30" x14ac:dyDescent="0.3">
      <c r="A186">
        <v>141</v>
      </c>
      <c r="B186" t="s">
        <v>2133</v>
      </c>
      <c r="C186" t="s">
        <v>1961</v>
      </c>
      <c r="D186">
        <v>27</v>
      </c>
      <c r="E186" t="s">
        <v>2038</v>
      </c>
      <c r="F186">
        <v>65</v>
      </c>
      <c r="G186">
        <v>36</v>
      </c>
      <c r="H186">
        <v>1675</v>
      </c>
      <c r="I186">
        <v>254</v>
      </c>
      <c r="J186">
        <v>617</v>
      </c>
      <c r="K186">
        <v>0.41199999999999998</v>
      </c>
      <c r="L186">
        <v>90</v>
      </c>
      <c r="M186">
        <v>243</v>
      </c>
      <c r="N186">
        <v>0.37</v>
      </c>
      <c r="O186">
        <v>164</v>
      </c>
      <c r="P186">
        <v>374</v>
      </c>
      <c r="Q186">
        <v>0.439</v>
      </c>
      <c r="R186">
        <v>0.48499999999999999</v>
      </c>
      <c r="S186">
        <v>52</v>
      </c>
      <c r="T186">
        <v>64</v>
      </c>
      <c r="U186">
        <v>0.81299999999999994</v>
      </c>
      <c r="V186">
        <v>31</v>
      </c>
      <c r="W186">
        <v>179</v>
      </c>
      <c r="X186">
        <v>210</v>
      </c>
      <c r="Y186">
        <v>105</v>
      </c>
      <c r="Z186">
        <v>33</v>
      </c>
      <c r="AA186">
        <v>2</v>
      </c>
      <c r="AB186">
        <v>50</v>
      </c>
      <c r="AC186">
        <v>77</v>
      </c>
      <c r="AD186">
        <v>650</v>
      </c>
    </row>
    <row r="187" spans="1:30" x14ac:dyDescent="0.3">
      <c r="A187">
        <v>142</v>
      </c>
      <c r="B187" t="s">
        <v>2134</v>
      </c>
      <c r="C187" t="s">
        <v>1961</v>
      </c>
      <c r="D187">
        <v>29</v>
      </c>
      <c r="E187" t="s">
        <v>1982</v>
      </c>
      <c r="F187">
        <v>80</v>
      </c>
      <c r="G187">
        <v>80</v>
      </c>
      <c r="H187">
        <v>2699</v>
      </c>
      <c r="I187">
        <v>602</v>
      </c>
      <c r="J187">
        <v>1354</v>
      </c>
      <c r="K187">
        <v>0.44500000000000001</v>
      </c>
      <c r="L187">
        <v>81</v>
      </c>
      <c r="M187">
        <v>284</v>
      </c>
      <c r="N187">
        <v>0.28499999999999998</v>
      </c>
      <c r="O187">
        <v>521</v>
      </c>
      <c r="P187">
        <v>1070</v>
      </c>
      <c r="Q187">
        <v>0.48699999999999999</v>
      </c>
      <c r="R187">
        <v>0.47499999999999998</v>
      </c>
      <c r="S187">
        <v>228</v>
      </c>
      <c r="T187">
        <v>303</v>
      </c>
      <c r="U187">
        <v>0.752</v>
      </c>
      <c r="V187">
        <v>34</v>
      </c>
      <c r="W187">
        <v>156</v>
      </c>
      <c r="X187">
        <v>190</v>
      </c>
      <c r="Y187">
        <v>329</v>
      </c>
      <c r="Z187">
        <v>148</v>
      </c>
      <c r="AA187">
        <v>25</v>
      </c>
      <c r="AB187">
        <v>198</v>
      </c>
      <c r="AC187">
        <v>197</v>
      </c>
      <c r="AD187">
        <v>1513</v>
      </c>
    </row>
    <row r="188" spans="1:30" x14ac:dyDescent="0.3">
      <c r="A188">
        <v>143</v>
      </c>
      <c r="B188" t="s">
        <v>2135</v>
      </c>
      <c r="C188" t="s">
        <v>1981</v>
      </c>
      <c r="D188">
        <v>24</v>
      </c>
      <c r="E188" t="s">
        <v>1986</v>
      </c>
      <c r="F188">
        <v>62</v>
      </c>
      <c r="G188">
        <v>3</v>
      </c>
      <c r="H188">
        <v>1051</v>
      </c>
      <c r="I188">
        <v>101</v>
      </c>
      <c r="J188">
        <v>247</v>
      </c>
      <c r="K188">
        <v>0.40899999999999997</v>
      </c>
      <c r="L188">
        <v>31</v>
      </c>
      <c r="M188">
        <v>95</v>
      </c>
      <c r="N188">
        <v>0.32600000000000001</v>
      </c>
      <c r="O188">
        <v>70</v>
      </c>
      <c r="P188">
        <v>152</v>
      </c>
      <c r="Q188">
        <v>0.46100000000000002</v>
      </c>
      <c r="R188">
        <v>0.47199999999999998</v>
      </c>
      <c r="S188">
        <v>79</v>
      </c>
      <c r="T188">
        <v>94</v>
      </c>
      <c r="U188">
        <v>0.84</v>
      </c>
      <c r="V188">
        <v>51</v>
      </c>
      <c r="W188">
        <v>125</v>
      </c>
      <c r="X188">
        <v>176</v>
      </c>
      <c r="Y188">
        <v>48</v>
      </c>
      <c r="Z188">
        <v>25</v>
      </c>
      <c r="AA188">
        <v>17</v>
      </c>
      <c r="AB188">
        <v>39</v>
      </c>
      <c r="AC188">
        <v>89</v>
      </c>
      <c r="AD188">
        <v>312</v>
      </c>
    </row>
    <row r="189" spans="1:30" x14ac:dyDescent="0.3">
      <c r="A189">
        <v>144</v>
      </c>
      <c r="B189" t="s">
        <v>2136</v>
      </c>
      <c r="C189" t="s">
        <v>2004</v>
      </c>
      <c r="D189">
        <v>20</v>
      </c>
      <c r="E189" t="s">
        <v>1968</v>
      </c>
      <c r="F189">
        <v>33</v>
      </c>
      <c r="G189">
        <v>1</v>
      </c>
      <c r="H189">
        <v>411</v>
      </c>
      <c r="I189">
        <v>52</v>
      </c>
      <c r="J189">
        <v>144</v>
      </c>
      <c r="K189">
        <v>0.36099999999999999</v>
      </c>
      <c r="L189">
        <v>12</v>
      </c>
      <c r="M189">
        <v>43</v>
      </c>
      <c r="N189">
        <v>0.27900000000000003</v>
      </c>
      <c r="O189">
        <v>40</v>
      </c>
      <c r="P189">
        <v>101</v>
      </c>
      <c r="Q189">
        <v>0.39600000000000002</v>
      </c>
      <c r="R189">
        <v>0.40300000000000002</v>
      </c>
      <c r="S189">
        <v>5</v>
      </c>
      <c r="T189">
        <v>7</v>
      </c>
      <c r="U189">
        <v>0.71399999999999997</v>
      </c>
      <c r="V189">
        <v>7</v>
      </c>
      <c r="W189">
        <v>28</v>
      </c>
      <c r="X189">
        <v>35</v>
      </c>
      <c r="Y189">
        <v>73</v>
      </c>
      <c r="Z189">
        <v>18</v>
      </c>
      <c r="AA189">
        <v>5</v>
      </c>
      <c r="AB189">
        <v>42</v>
      </c>
      <c r="AC189">
        <v>36</v>
      </c>
      <c r="AD189">
        <v>121</v>
      </c>
    </row>
    <row r="190" spans="1:30" x14ac:dyDescent="0.3">
      <c r="A190">
        <v>144</v>
      </c>
      <c r="B190" t="s">
        <v>2136</v>
      </c>
      <c r="C190" t="s">
        <v>2004</v>
      </c>
      <c r="D190">
        <v>20</v>
      </c>
      <c r="E190" t="s">
        <v>2017</v>
      </c>
      <c r="F190">
        <v>8</v>
      </c>
      <c r="G190">
        <v>0</v>
      </c>
      <c r="H190">
        <v>58</v>
      </c>
      <c r="I190">
        <v>9</v>
      </c>
      <c r="J190">
        <v>21</v>
      </c>
      <c r="K190">
        <v>0.42899999999999999</v>
      </c>
      <c r="L190">
        <v>2</v>
      </c>
      <c r="M190">
        <v>6</v>
      </c>
      <c r="N190">
        <v>0.33300000000000002</v>
      </c>
      <c r="O190">
        <v>7</v>
      </c>
      <c r="P190">
        <v>15</v>
      </c>
      <c r="Q190">
        <v>0.46700000000000003</v>
      </c>
      <c r="R190">
        <v>0.47599999999999998</v>
      </c>
      <c r="S190">
        <v>2</v>
      </c>
      <c r="T190">
        <v>2</v>
      </c>
      <c r="U190">
        <v>1</v>
      </c>
      <c r="V190">
        <v>1</v>
      </c>
      <c r="W190">
        <v>6</v>
      </c>
      <c r="X190">
        <v>7</v>
      </c>
      <c r="Y190">
        <v>14</v>
      </c>
      <c r="Z190">
        <v>0</v>
      </c>
      <c r="AA190">
        <v>2</v>
      </c>
      <c r="AB190">
        <v>8</v>
      </c>
      <c r="AC190">
        <v>3</v>
      </c>
      <c r="AD190">
        <v>22</v>
      </c>
    </row>
    <row r="191" spans="1:30" x14ac:dyDescent="0.3">
      <c r="A191">
        <v>144</v>
      </c>
      <c r="B191" t="s">
        <v>2136</v>
      </c>
      <c r="C191" t="s">
        <v>2004</v>
      </c>
      <c r="D191">
        <v>20</v>
      </c>
      <c r="E191" t="s">
        <v>1993</v>
      </c>
      <c r="F191">
        <v>25</v>
      </c>
      <c r="G191">
        <v>1</v>
      </c>
      <c r="H191">
        <v>353</v>
      </c>
      <c r="I191">
        <v>43</v>
      </c>
      <c r="J191">
        <v>123</v>
      </c>
      <c r="K191">
        <v>0.35</v>
      </c>
      <c r="L191">
        <v>10</v>
      </c>
      <c r="M191">
        <v>37</v>
      </c>
      <c r="N191">
        <v>0.27</v>
      </c>
      <c r="O191">
        <v>33</v>
      </c>
      <c r="P191">
        <v>86</v>
      </c>
      <c r="Q191">
        <v>0.38400000000000001</v>
      </c>
      <c r="R191">
        <v>0.39</v>
      </c>
      <c r="S191">
        <v>3</v>
      </c>
      <c r="T191">
        <v>5</v>
      </c>
      <c r="U191">
        <v>0.6</v>
      </c>
      <c r="V191">
        <v>6</v>
      </c>
      <c r="W191">
        <v>22</v>
      </c>
      <c r="X191">
        <v>28</v>
      </c>
      <c r="Y191">
        <v>59</v>
      </c>
      <c r="Z191">
        <v>18</v>
      </c>
      <c r="AA191">
        <v>3</v>
      </c>
      <c r="AB191">
        <v>34</v>
      </c>
      <c r="AC191">
        <v>33</v>
      </c>
      <c r="AD191">
        <v>99</v>
      </c>
    </row>
    <row r="192" spans="1:30" x14ac:dyDescent="0.3">
      <c r="A192">
        <v>145</v>
      </c>
      <c r="B192" t="s">
        <v>2137</v>
      </c>
      <c r="C192" t="s">
        <v>1981</v>
      </c>
      <c r="D192">
        <v>27</v>
      </c>
      <c r="E192" t="s">
        <v>2030</v>
      </c>
      <c r="F192">
        <v>38</v>
      </c>
      <c r="G192">
        <v>0</v>
      </c>
      <c r="H192">
        <v>266</v>
      </c>
      <c r="I192">
        <v>32</v>
      </c>
      <c r="J192">
        <v>58</v>
      </c>
      <c r="K192">
        <v>0.55200000000000005</v>
      </c>
      <c r="L192">
        <v>2</v>
      </c>
      <c r="M192">
        <v>5</v>
      </c>
      <c r="N192">
        <v>0.4</v>
      </c>
      <c r="O192">
        <v>30</v>
      </c>
      <c r="P192">
        <v>53</v>
      </c>
      <c r="Q192">
        <v>0.56599999999999995</v>
      </c>
      <c r="R192">
        <v>0.56899999999999995</v>
      </c>
      <c r="S192">
        <v>24</v>
      </c>
      <c r="T192">
        <v>29</v>
      </c>
      <c r="U192">
        <v>0.82799999999999996</v>
      </c>
      <c r="V192">
        <v>26</v>
      </c>
      <c r="W192">
        <v>45</v>
      </c>
      <c r="X192">
        <v>71</v>
      </c>
      <c r="Y192">
        <v>13</v>
      </c>
      <c r="Z192">
        <v>11</v>
      </c>
      <c r="AA192">
        <v>12</v>
      </c>
      <c r="AB192">
        <v>5</v>
      </c>
      <c r="AC192">
        <v>29</v>
      </c>
      <c r="AD192">
        <v>90</v>
      </c>
    </row>
    <row r="193" spans="1:30" x14ac:dyDescent="0.3">
      <c r="A193">
        <v>146</v>
      </c>
      <c r="B193" t="s">
        <v>2138</v>
      </c>
      <c r="C193" t="s">
        <v>1956</v>
      </c>
      <c r="D193">
        <v>34</v>
      </c>
      <c r="E193" t="s">
        <v>2034</v>
      </c>
      <c r="F193">
        <v>47</v>
      </c>
      <c r="G193">
        <v>7</v>
      </c>
      <c r="H193">
        <v>764</v>
      </c>
      <c r="I193">
        <v>58</v>
      </c>
      <c r="J193">
        <v>137</v>
      </c>
      <c r="K193">
        <v>0.42299999999999999</v>
      </c>
      <c r="L193">
        <v>0</v>
      </c>
      <c r="M193">
        <v>2</v>
      </c>
      <c r="N193">
        <v>0</v>
      </c>
      <c r="O193">
        <v>58</v>
      </c>
      <c r="P193">
        <v>135</v>
      </c>
      <c r="Q193">
        <v>0.43</v>
      </c>
      <c r="R193">
        <v>0.42299999999999999</v>
      </c>
      <c r="S193">
        <v>60</v>
      </c>
      <c r="T193">
        <v>97</v>
      </c>
      <c r="U193">
        <v>0.61899999999999999</v>
      </c>
      <c r="V193">
        <v>97</v>
      </c>
      <c r="W193">
        <v>202</v>
      </c>
      <c r="X193">
        <v>299</v>
      </c>
      <c r="Y193">
        <v>32</v>
      </c>
      <c r="Z193">
        <v>22</v>
      </c>
      <c r="AA193">
        <v>5</v>
      </c>
      <c r="AB193">
        <v>45</v>
      </c>
      <c r="AC193">
        <v>91</v>
      </c>
      <c r="AD193">
        <v>176</v>
      </c>
    </row>
    <row r="194" spans="1:30" x14ac:dyDescent="0.3">
      <c r="A194">
        <v>147</v>
      </c>
      <c r="B194" t="s">
        <v>2139</v>
      </c>
      <c r="C194" t="s">
        <v>1961</v>
      </c>
      <c r="D194">
        <v>25</v>
      </c>
      <c r="E194" t="s">
        <v>1972</v>
      </c>
      <c r="F194">
        <v>79</v>
      </c>
      <c r="G194">
        <v>76</v>
      </c>
      <c r="H194">
        <v>2690</v>
      </c>
      <c r="I194">
        <v>521</v>
      </c>
      <c r="J194">
        <v>1165</v>
      </c>
      <c r="K194">
        <v>0.44700000000000001</v>
      </c>
      <c r="L194">
        <v>69</v>
      </c>
      <c r="M194">
        <v>227</v>
      </c>
      <c r="N194">
        <v>0.30399999999999999</v>
      </c>
      <c r="O194">
        <v>452</v>
      </c>
      <c r="P194">
        <v>938</v>
      </c>
      <c r="Q194">
        <v>0.48199999999999998</v>
      </c>
      <c r="R194">
        <v>0.47699999999999998</v>
      </c>
      <c r="S194">
        <v>202</v>
      </c>
      <c r="T194">
        <v>291</v>
      </c>
      <c r="U194">
        <v>0.69399999999999995</v>
      </c>
      <c r="V194">
        <v>82</v>
      </c>
      <c r="W194">
        <v>334</v>
      </c>
      <c r="X194">
        <v>416</v>
      </c>
      <c r="Y194">
        <v>521</v>
      </c>
      <c r="Z194">
        <v>100</v>
      </c>
      <c r="AA194">
        <v>37</v>
      </c>
      <c r="AB194">
        <v>246</v>
      </c>
      <c r="AC194">
        <v>198</v>
      </c>
      <c r="AD194">
        <v>1313</v>
      </c>
    </row>
    <row r="195" spans="1:30" x14ac:dyDescent="0.3">
      <c r="A195">
        <v>148</v>
      </c>
      <c r="B195" t="s">
        <v>2140</v>
      </c>
      <c r="C195" t="s">
        <v>2004</v>
      </c>
      <c r="D195">
        <v>19</v>
      </c>
      <c r="E195" t="s">
        <v>2030</v>
      </c>
      <c r="F195">
        <v>82</v>
      </c>
      <c r="G195">
        <v>41</v>
      </c>
      <c r="H195">
        <v>1817</v>
      </c>
      <c r="I195">
        <v>145</v>
      </c>
      <c r="J195">
        <v>416</v>
      </c>
      <c r="K195">
        <v>0.34899999999999998</v>
      </c>
      <c r="L195">
        <v>83</v>
      </c>
      <c r="M195">
        <v>264</v>
      </c>
      <c r="N195">
        <v>0.314</v>
      </c>
      <c r="O195">
        <v>62</v>
      </c>
      <c r="P195">
        <v>152</v>
      </c>
      <c r="Q195">
        <v>0.40799999999999997</v>
      </c>
      <c r="R195">
        <v>0.44800000000000001</v>
      </c>
      <c r="S195">
        <v>20</v>
      </c>
      <c r="T195">
        <v>32</v>
      </c>
      <c r="U195">
        <v>0.625</v>
      </c>
      <c r="V195">
        <v>27</v>
      </c>
      <c r="W195">
        <v>104</v>
      </c>
      <c r="X195">
        <v>131</v>
      </c>
      <c r="Y195">
        <v>198</v>
      </c>
      <c r="Z195">
        <v>41</v>
      </c>
      <c r="AA195">
        <v>14</v>
      </c>
      <c r="AB195">
        <v>118</v>
      </c>
      <c r="AC195">
        <v>147</v>
      </c>
      <c r="AD195">
        <v>393</v>
      </c>
    </row>
    <row r="196" spans="1:30" x14ac:dyDescent="0.3">
      <c r="A196">
        <v>149</v>
      </c>
      <c r="B196" t="s">
        <v>2141</v>
      </c>
      <c r="C196" t="s">
        <v>213</v>
      </c>
      <c r="D196">
        <v>25</v>
      </c>
      <c r="E196" t="s">
        <v>2010</v>
      </c>
      <c r="F196">
        <v>46</v>
      </c>
      <c r="G196">
        <v>7</v>
      </c>
      <c r="H196">
        <v>504</v>
      </c>
      <c r="I196">
        <v>76</v>
      </c>
      <c r="J196">
        <v>139</v>
      </c>
      <c r="K196">
        <v>0.54700000000000004</v>
      </c>
      <c r="L196">
        <v>0</v>
      </c>
      <c r="M196">
        <v>0</v>
      </c>
      <c r="O196">
        <v>76</v>
      </c>
      <c r="P196">
        <v>139</v>
      </c>
      <c r="Q196">
        <v>0.54700000000000004</v>
      </c>
      <c r="R196">
        <v>0.54700000000000004</v>
      </c>
      <c r="S196">
        <v>49</v>
      </c>
      <c r="T196">
        <v>78</v>
      </c>
      <c r="U196">
        <v>0.628</v>
      </c>
      <c r="V196">
        <v>60</v>
      </c>
      <c r="W196">
        <v>95</v>
      </c>
      <c r="X196">
        <v>155</v>
      </c>
      <c r="Y196">
        <v>9</v>
      </c>
      <c r="Z196">
        <v>7</v>
      </c>
      <c r="AA196">
        <v>42</v>
      </c>
      <c r="AB196">
        <v>32</v>
      </c>
      <c r="AC196">
        <v>77</v>
      </c>
      <c r="AD196">
        <v>201</v>
      </c>
    </row>
    <row r="197" spans="1:30" x14ac:dyDescent="0.3">
      <c r="A197">
        <v>150</v>
      </c>
      <c r="B197" t="s">
        <v>2142</v>
      </c>
      <c r="C197" t="s">
        <v>1956</v>
      </c>
      <c r="D197">
        <v>25</v>
      </c>
      <c r="E197" t="s">
        <v>1969</v>
      </c>
      <c r="F197">
        <v>75</v>
      </c>
      <c r="G197">
        <v>71</v>
      </c>
      <c r="H197">
        <v>2086</v>
      </c>
      <c r="I197">
        <v>373</v>
      </c>
      <c r="J197">
        <v>736</v>
      </c>
      <c r="K197">
        <v>0.50700000000000001</v>
      </c>
      <c r="L197">
        <v>1</v>
      </c>
      <c r="M197">
        <v>8</v>
      </c>
      <c r="N197">
        <v>0.125</v>
      </c>
      <c r="O197">
        <v>372</v>
      </c>
      <c r="P197">
        <v>728</v>
      </c>
      <c r="Q197">
        <v>0.51100000000000001</v>
      </c>
      <c r="R197">
        <v>0.50700000000000001</v>
      </c>
      <c r="S197">
        <v>199</v>
      </c>
      <c r="T197">
        <v>288</v>
      </c>
      <c r="U197">
        <v>0.69099999999999995</v>
      </c>
      <c r="V197">
        <v>242</v>
      </c>
      <c r="W197">
        <v>426</v>
      </c>
      <c r="X197">
        <v>668</v>
      </c>
      <c r="Y197">
        <v>89</v>
      </c>
      <c r="Z197">
        <v>62</v>
      </c>
      <c r="AA197">
        <v>57</v>
      </c>
      <c r="AB197">
        <v>118</v>
      </c>
      <c r="AC197">
        <v>211</v>
      </c>
      <c r="AD197">
        <v>946</v>
      </c>
    </row>
    <row r="198" spans="1:30" x14ac:dyDescent="0.3">
      <c r="A198">
        <v>151</v>
      </c>
      <c r="B198" t="s">
        <v>2143</v>
      </c>
      <c r="C198" t="s">
        <v>2004</v>
      </c>
      <c r="D198">
        <v>28</v>
      </c>
      <c r="E198" t="s">
        <v>2015</v>
      </c>
      <c r="F198">
        <v>36</v>
      </c>
      <c r="G198">
        <v>0</v>
      </c>
      <c r="H198">
        <v>529</v>
      </c>
      <c r="I198">
        <v>61</v>
      </c>
      <c r="J198">
        <v>158</v>
      </c>
      <c r="K198">
        <v>0.38600000000000001</v>
      </c>
      <c r="L198">
        <v>35</v>
      </c>
      <c r="M198">
        <v>97</v>
      </c>
      <c r="N198">
        <v>0.36099999999999999</v>
      </c>
      <c r="O198">
        <v>26</v>
      </c>
      <c r="P198">
        <v>61</v>
      </c>
      <c r="Q198">
        <v>0.42599999999999999</v>
      </c>
      <c r="R198">
        <v>0.497</v>
      </c>
      <c r="S198">
        <v>10</v>
      </c>
      <c r="T198">
        <v>11</v>
      </c>
      <c r="U198">
        <v>0.90900000000000003</v>
      </c>
      <c r="V198">
        <v>8</v>
      </c>
      <c r="W198">
        <v>34</v>
      </c>
      <c r="X198">
        <v>42</v>
      </c>
      <c r="Y198">
        <v>67</v>
      </c>
      <c r="Z198">
        <v>20</v>
      </c>
      <c r="AA198">
        <v>5</v>
      </c>
      <c r="AB198">
        <v>32</v>
      </c>
      <c r="AC198">
        <v>52</v>
      </c>
      <c r="AD198">
        <v>167</v>
      </c>
    </row>
    <row r="199" spans="1:30" x14ac:dyDescent="0.3">
      <c r="A199">
        <v>152</v>
      </c>
      <c r="B199" t="s">
        <v>2144</v>
      </c>
      <c r="C199" t="s">
        <v>1956</v>
      </c>
      <c r="D199">
        <v>23</v>
      </c>
      <c r="E199" t="s">
        <v>2030</v>
      </c>
      <c r="F199">
        <v>74</v>
      </c>
      <c r="G199">
        <v>74</v>
      </c>
      <c r="H199">
        <v>2280</v>
      </c>
      <c r="I199">
        <v>482</v>
      </c>
      <c r="J199">
        <v>918</v>
      </c>
      <c r="K199">
        <v>0.52500000000000002</v>
      </c>
      <c r="L199">
        <v>1</v>
      </c>
      <c r="M199">
        <v>6</v>
      </c>
      <c r="N199">
        <v>0.16700000000000001</v>
      </c>
      <c r="O199">
        <v>481</v>
      </c>
      <c r="P199">
        <v>912</v>
      </c>
      <c r="Q199">
        <v>0.52700000000000002</v>
      </c>
      <c r="R199">
        <v>0.52600000000000002</v>
      </c>
      <c r="S199">
        <v>222</v>
      </c>
      <c r="T199">
        <v>332</v>
      </c>
      <c r="U199">
        <v>0.66900000000000004</v>
      </c>
      <c r="V199">
        <v>196</v>
      </c>
      <c r="W199">
        <v>411</v>
      </c>
      <c r="X199">
        <v>607</v>
      </c>
      <c r="Y199">
        <v>112</v>
      </c>
      <c r="Z199">
        <v>60</v>
      </c>
      <c r="AA199">
        <v>123</v>
      </c>
      <c r="AB199">
        <v>121</v>
      </c>
      <c r="AC199">
        <v>210</v>
      </c>
      <c r="AD199">
        <v>1187</v>
      </c>
    </row>
    <row r="200" spans="1:30" x14ac:dyDescent="0.3">
      <c r="A200">
        <v>153</v>
      </c>
      <c r="B200" t="s">
        <v>2145</v>
      </c>
      <c r="C200" t="s">
        <v>2004</v>
      </c>
      <c r="D200">
        <v>30</v>
      </c>
      <c r="E200" t="s">
        <v>1982</v>
      </c>
      <c r="F200">
        <v>29</v>
      </c>
      <c r="G200">
        <v>3</v>
      </c>
      <c r="H200">
        <v>281</v>
      </c>
      <c r="I200">
        <v>43</v>
      </c>
      <c r="J200">
        <v>106</v>
      </c>
      <c r="K200">
        <v>0.40600000000000003</v>
      </c>
      <c r="L200">
        <v>10</v>
      </c>
      <c r="M200">
        <v>34</v>
      </c>
      <c r="N200">
        <v>0.29399999999999998</v>
      </c>
      <c r="O200">
        <v>33</v>
      </c>
      <c r="P200">
        <v>72</v>
      </c>
      <c r="Q200">
        <v>0.45800000000000002</v>
      </c>
      <c r="R200">
        <v>0.45300000000000001</v>
      </c>
      <c r="S200">
        <v>12</v>
      </c>
      <c r="T200">
        <v>15</v>
      </c>
      <c r="U200">
        <v>0.8</v>
      </c>
      <c r="V200">
        <v>2</v>
      </c>
      <c r="W200">
        <v>24</v>
      </c>
      <c r="X200">
        <v>26</v>
      </c>
      <c r="Y200">
        <v>41</v>
      </c>
      <c r="Z200">
        <v>11</v>
      </c>
      <c r="AA200">
        <v>4</v>
      </c>
      <c r="AB200">
        <v>18</v>
      </c>
      <c r="AC200">
        <v>17</v>
      </c>
      <c r="AD200">
        <v>108</v>
      </c>
    </row>
    <row r="201" spans="1:30" x14ac:dyDescent="0.3">
      <c r="A201">
        <v>154</v>
      </c>
      <c r="B201" t="s">
        <v>2146</v>
      </c>
      <c r="C201" t="s">
        <v>1981</v>
      </c>
      <c r="D201">
        <v>26</v>
      </c>
      <c r="E201" t="s">
        <v>2068</v>
      </c>
      <c r="F201">
        <v>26</v>
      </c>
      <c r="G201">
        <v>9</v>
      </c>
      <c r="H201">
        <v>216</v>
      </c>
      <c r="I201">
        <v>20</v>
      </c>
      <c r="J201">
        <v>41</v>
      </c>
      <c r="K201">
        <v>0.48799999999999999</v>
      </c>
      <c r="L201">
        <v>1</v>
      </c>
      <c r="M201">
        <v>2</v>
      </c>
      <c r="N201">
        <v>0.5</v>
      </c>
      <c r="O201">
        <v>19</v>
      </c>
      <c r="P201">
        <v>39</v>
      </c>
      <c r="Q201">
        <v>0.48699999999999999</v>
      </c>
      <c r="R201">
        <v>0.5</v>
      </c>
      <c r="S201">
        <v>5</v>
      </c>
      <c r="T201">
        <v>6</v>
      </c>
      <c r="U201">
        <v>0.83299999999999996</v>
      </c>
      <c r="V201">
        <v>10</v>
      </c>
      <c r="W201">
        <v>16</v>
      </c>
      <c r="X201">
        <v>26</v>
      </c>
      <c r="Y201">
        <v>15</v>
      </c>
      <c r="Z201">
        <v>11</v>
      </c>
      <c r="AA201">
        <v>0</v>
      </c>
      <c r="AB201">
        <v>8</v>
      </c>
      <c r="AC201">
        <v>9</v>
      </c>
      <c r="AD201">
        <v>46</v>
      </c>
    </row>
    <row r="202" spans="1:30" x14ac:dyDescent="0.3">
      <c r="A202">
        <v>155</v>
      </c>
      <c r="B202" t="s">
        <v>2147</v>
      </c>
      <c r="C202" t="s">
        <v>1961</v>
      </c>
      <c r="D202">
        <v>22</v>
      </c>
      <c r="E202" t="s">
        <v>2113</v>
      </c>
      <c r="F202">
        <v>58</v>
      </c>
      <c r="G202">
        <v>32</v>
      </c>
      <c r="H202">
        <v>1661</v>
      </c>
      <c r="I202">
        <v>253</v>
      </c>
      <c r="J202">
        <v>575</v>
      </c>
      <c r="K202">
        <v>0.44</v>
      </c>
      <c r="L202">
        <v>85</v>
      </c>
      <c r="M202">
        <v>225</v>
      </c>
      <c r="N202">
        <v>0.378</v>
      </c>
      <c r="O202">
        <v>168</v>
      </c>
      <c r="P202">
        <v>350</v>
      </c>
      <c r="Q202">
        <v>0.48</v>
      </c>
      <c r="R202">
        <v>0.51400000000000001</v>
      </c>
      <c r="S202">
        <v>107</v>
      </c>
      <c r="T202">
        <v>147</v>
      </c>
      <c r="U202">
        <v>0.72799999999999998</v>
      </c>
      <c r="V202">
        <v>28</v>
      </c>
      <c r="W202">
        <v>125</v>
      </c>
      <c r="X202">
        <v>153</v>
      </c>
      <c r="Y202">
        <v>120</v>
      </c>
      <c r="Z202">
        <v>40</v>
      </c>
      <c r="AA202">
        <v>2</v>
      </c>
      <c r="AB202">
        <v>82</v>
      </c>
      <c r="AC202">
        <v>116</v>
      </c>
      <c r="AD202">
        <v>698</v>
      </c>
    </row>
    <row r="203" spans="1:30" x14ac:dyDescent="0.3">
      <c r="A203">
        <v>156</v>
      </c>
      <c r="B203" t="s">
        <v>2148</v>
      </c>
      <c r="C203" t="s">
        <v>1961</v>
      </c>
      <c r="D203">
        <v>31</v>
      </c>
      <c r="E203" t="s">
        <v>1969</v>
      </c>
      <c r="F203">
        <v>50</v>
      </c>
      <c r="G203">
        <v>21</v>
      </c>
      <c r="H203">
        <v>1087</v>
      </c>
      <c r="I203">
        <v>148</v>
      </c>
      <c r="J203">
        <v>402</v>
      </c>
      <c r="K203">
        <v>0.36799999999999999</v>
      </c>
      <c r="L203">
        <v>94</v>
      </c>
      <c r="M203">
        <v>263</v>
      </c>
      <c r="N203">
        <v>0.35699999999999998</v>
      </c>
      <c r="O203">
        <v>54</v>
      </c>
      <c r="P203">
        <v>139</v>
      </c>
      <c r="Q203">
        <v>0.38800000000000001</v>
      </c>
      <c r="R203">
        <v>0.48499999999999999</v>
      </c>
      <c r="S203">
        <v>45</v>
      </c>
      <c r="T203">
        <v>55</v>
      </c>
      <c r="U203">
        <v>0.81799999999999995</v>
      </c>
      <c r="V203">
        <v>9</v>
      </c>
      <c r="W203">
        <v>76</v>
      </c>
      <c r="X203">
        <v>85</v>
      </c>
      <c r="Y203">
        <v>119</v>
      </c>
      <c r="Z203">
        <v>34</v>
      </c>
      <c r="AA203">
        <v>11</v>
      </c>
      <c r="AB203">
        <v>60</v>
      </c>
      <c r="AC203">
        <v>97</v>
      </c>
      <c r="AD203">
        <v>435</v>
      </c>
    </row>
    <row r="204" spans="1:30" x14ac:dyDescent="0.3">
      <c r="A204">
        <v>157</v>
      </c>
      <c r="B204" t="s">
        <v>2149</v>
      </c>
      <c r="C204" t="s">
        <v>1961</v>
      </c>
      <c r="D204">
        <v>23</v>
      </c>
      <c r="E204" t="s">
        <v>1969</v>
      </c>
      <c r="F204">
        <v>3</v>
      </c>
      <c r="G204">
        <v>0</v>
      </c>
      <c r="H204">
        <v>13</v>
      </c>
      <c r="I204">
        <v>1</v>
      </c>
      <c r="J204">
        <v>2</v>
      </c>
      <c r="K204">
        <v>0.5</v>
      </c>
      <c r="L204">
        <v>1</v>
      </c>
      <c r="M204">
        <v>2</v>
      </c>
      <c r="N204">
        <v>0.5</v>
      </c>
      <c r="O204">
        <v>0</v>
      </c>
      <c r="P204">
        <v>0</v>
      </c>
      <c r="R204">
        <v>0.75</v>
      </c>
      <c r="S204">
        <v>0</v>
      </c>
      <c r="T204">
        <v>0</v>
      </c>
      <c r="V204">
        <v>1</v>
      </c>
      <c r="W204">
        <v>1</v>
      </c>
      <c r="X204">
        <v>2</v>
      </c>
      <c r="Y204">
        <v>3</v>
      </c>
      <c r="Z204">
        <v>0</v>
      </c>
      <c r="AA204">
        <v>1</v>
      </c>
      <c r="AB204">
        <v>3</v>
      </c>
      <c r="AC204">
        <v>4</v>
      </c>
      <c r="AD204">
        <v>3</v>
      </c>
    </row>
    <row r="205" spans="1:30" x14ac:dyDescent="0.3">
      <c r="A205">
        <v>158</v>
      </c>
      <c r="B205" t="s">
        <v>2150</v>
      </c>
      <c r="C205" t="s">
        <v>2004</v>
      </c>
      <c r="D205">
        <v>24</v>
      </c>
      <c r="E205" t="s">
        <v>1968</v>
      </c>
      <c r="F205">
        <v>11</v>
      </c>
      <c r="G205">
        <v>3</v>
      </c>
      <c r="H205">
        <v>239</v>
      </c>
      <c r="I205">
        <v>21</v>
      </c>
      <c r="J205">
        <v>61</v>
      </c>
      <c r="K205">
        <v>0.34399999999999997</v>
      </c>
      <c r="L205">
        <v>5</v>
      </c>
      <c r="M205">
        <v>17</v>
      </c>
      <c r="N205">
        <v>0.29399999999999998</v>
      </c>
      <c r="O205">
        <v>16</v>
      </c>
      <c r="P205">
        <v>44</v>
      </c>
      <c r="Q205">
        <v>0.36399999999999999</v>
      </c>
      <c r="R205">
        <v>0.38500000000000001</v>
      </c>
      <c r="S205">
        <v>10</v>
      </c>
      <c r="T205">
        <v>21</v>
      </c>
      <c r="U205">
        <v>0.47599999999999998</v>
      </c>
      <c r="V205">
        <v>6</v>
      </c>
      <c r="W205">
        <v>22</v>
      </c>
      <c r="X205">
        <v>28</v>
      </c>
      <c r="Y205">
        <v>60</v>
      </c>
      <c r="Z205">
        <v>8</v>
      </c>
      <c r="AA205">
        <v>0</v>
      </c>
      <c r="AB205">
        <v>25</v>
      </c>
      <c r="AC205">
        <v>26</v>
      </c>
      <c r="AD205">
        <v>57</v>
      </c>
    </row>
    <row r="206" spans="1:30" x14ac:dyDescent="0.3">
      <c r="A206">
        <v>158</v>
      </c>
      <c r="B206" t="s">
        <v>2150</v>
      </c>
      <c r="C206" t="s">
        <v>2004</v>
      </c>
      <c r="D206">
        <v>24</v>
      </c>
      <c r="E206" t="s">
        <v>1974</v>
      </c>
      <c r="F206">
        <v>6</v>
      </c>
      <c r="G206">
        <v>3</v>
      </c>
      <c r="H206">
        <v>171</v>
      </c>
      <c r="I206">
        <v>13</v>
      </c>
      <c r="J206">
        <v>43</v>
      </c>
      <c r="K206">
        <v>0.30199999999999999</v>
      </c>
      <c r="L206">
        <v>3</v>
      </c>
      <c r="M206">
        <v>11</v>
      </c>
      <c r="N206">
        <v>0.27300000000000002</v>
      </c>
      <c r="O206">
        <v>10</v>
      </c>
      <c r="P206">
        <v>32</v>
      </c>
      <c r="Q206">
        <v>0.313</v>
      </c>
      <c r="R206">
        <v>0.33700000000000002</v>
      </c>
      <c r="S206">
        <v>5</v>
      </c>
      <c r="T206">
        <v>15</v>
      </c>
      <c r="U206">
        <v>0.33300000000000002</v>
      </c>
      <c r="V206">
        <v>4</v>
      </c>
      <c r="W206">
        <v>15</v>
      </c>
      <c r="X206">
        <v>19</v>
      </c>
      <c r="Y206">
        <v>43</v>
      </c>
      <c r="Z206">
        <v>6</v>
      </c>
      <c r="AA206">
        <v>0</v>
      </c>
      <c r="AB206">
        <v>18</v>
      </c>
      <c r="AC206">
        <v>16</v>
      </c>
      <c r="AD206">
        <v>34</v>
      </c>
    </row>
    <row r="207" spans="1:30" x14ac:dyDescent="0.3">
      <c r="A207">
        <v>158</v>
      </c>
      <c r="B207" t="s">
        <v>2150</v>
      </c>
      <c r="C207" t="s">
        <v>2004</v>
      </c>
      <c r="D207">
        <v>24</v>
      </c>
      <c r="E207" t="s">
        <v>1970</v>
      </c>
      <c r="F207">
        <v>5</v>
      </c>
      <c r="G207">
        <v>0</v>
      </c>
      <c r="H207">
        <v>68</v>
      </c>
      <c r="I207">
        <v>8</v>
      </c>
      <c r="J207">
        <v>18</v>
      </c>
      <c r="K207">
        <v>0.44400000000000001</v>
      </c>
      <c r="L207">
        <v>2</v>
      </c>
      <c r="M207">
        <v>6</v>
      </c>
      <c r="N207">
        <v>0.33300000000000002</v>
      </c>
      <c r="O207">
        <v>6</v>
      </c>
      <c r="P207">
        <v>12</v>
      </c>
      <c r="Q207">
        <v>0.5</v>
      </c>
      <c r="R207">
        <v>0.5</v>
      </c>
      <c r="S207">
        <v>5</v>
      </c>
      <c r="T207">
        <v>6</v>
      </c>
      <c r="U207">
        <v>0.83299999999999996</v>
      </c>
      <c r="V207">
        <v>2</v>
      </c>
      <c r="W207">
        <v>7</v>
      </c>
      <c r="X207">
        <v>9</v>
      </c>
      <c r="Y207">
        <v>17</v>
      </c>
      <c r="Z207">
        <v>2</v>
      </c>
      <c r="AA207">
        <v>0</v>
      </c>
      <c r="AB207">
        <v>7</v>
      </c>
      <c r="AC207">
        <v>10</v>
      </c>
      <c r="AD207">
        <v>23</v>
      </c>
    </row>
    <row r="208" spans="1:30" x14ac:dyDescent="0.3">
      <c r="A208">
        <v>159</v>
      </c>
      <c r="B208" t="s">
        <v>2151</v>
      </c>
      <c r="C208" t="s">
        <v>2004</v>
      </c>
      <c r="D208">
        <v>25</v>
      </c>
      <c r="E208" t="s">
        <v>1972</v>
      </c>
      <c r="F208">
        <v>50</v>
      </c>
      <c r="G208">
        <v>0</v>
      </c>
      <c r="H208">
        <v>509</v>
      </c>
      <c r="I208">
        <v>63</v>
      </c>
      <c r="J208">
        <v>166</v>
      </c>
      <c r="K208">
        <v>0.38</v>
      </c>
      <c r="L208">
        <v>9</v>
      </c>
      <c r="M208">
        <v>48</v>
      </c>
      <c r="N208">
        <v>0.188</v>
      </c>
      <c r="O208">
        <v>54</v>
      </c>
      <c r="P208">
        <v>118</v>
      </c>
      <c r="Q208">
        <v>0.45800000000000002</v>
      </c>
      <c r="R208">
        <v>0.40699999999999997</v>
      </c>
      <c r="S208">
        <v>43</v>
      </c>
      <c r="T208">
        <v>45</v>
      </c>
      <c r="U208">
        <v>0.95599999999999996</v>
      </c>
      <c r="V208">
        <v>8</v>
      </c>
      <c r="W208">
        <v>32</v>
      </c>
      <c r="X208">
        <v>40</v>
      </c>
      <c r="Y208">
        <v>58</v>
      </c>
      <c r="Z208">
        <v>15</v>
      </c>
      <c r="AA208">
        <v>2</v>
      </c>
      <c r="AB208">
        <v>33</v>
      </c>
      <c r="AC208">
        <v>43</v>
      </c>
      <c r="AD208">
        <v>178</v>
      </c>
    </row>
    <row r="209" spans="1:30" x14ac:dyDescent="0.3">
      <c r="A209">
        <v>160</v>
      </c>
      <c r="B209" t="s">
        <v>2152</v>
      </c>
      <c r="C209" t="s">
        <v>213</v>
      </c>
      <c r="D209">
        <v>22</v>
      </c>
      <c r="E209" t="s">
        <v>1968</v>
      </c>
      <c r="F209">
        <v>75</v>
      </c>
      <c r="G209">
        <v>74</v>
      </c>
      <c r="H209">
        <v>2135</v>
      </c>
      <c r="I209">
        <v>482</v>
      </c>
      <c r="J209">
        <v>928</v>
      </c>
      <c r="K209">
        <v>0.51900000000000002</v>
      </c>
      <c r="L209">
        <v>16</v>
      </c>
      <c r="M209">
        <v>45</v>
      </c>
      <c r="N209">
        <v>0.35599999999999998</v>
      </c>
      <c r="O209">
        <v>466</v>
      </c>
      <c r="P209">
        <v>883</v>
      </c>
      <c r="Q209">
        <v>0.52800000000000002</v>
      </c>
      <c r="R209">
        <v>0.52800000000000002</v>
      </c>
      <c r="S209">
        <v>183</v>
      </c>
      <c r="T209">
        <v>234</v>
      </c>
      <c r="U209">
        <v>0.78200000000000003</v>
      </c>
      <c r="V209">
        <v>277</v>
      </c>
      <c r="W209">
        <v>394</v>
      </c>
      <c r="X209">
        <v>671</v>
      </c>
      <c r="Y209">
        <v>55</v>
      </c>
      <c r="Z209">
        <v>36</v>
      </c>
      <c r="AA209">
        <v>29</v>
      </c>
      <c r="AB209">
        <v>145</v>
      </c>
      <c r="AC209">
        <v>189</v>
      </c>
      <c r="AD209">
        <v>1163</v>
      </c>
    </row>
    <row r="210" spans="1:30" x14ac:dyDescent="0.3">
      <c r="A210">
        <v>160</v>
      </c>
      <c r="B210" t="s">
        <v>2152</v>
      </c>
      <c r="C210" t="s">
        <v>213</v>
      </c>
      <c r="D210">
        <v>22</v>
      </c>
      <c r="E210" t="s">
        <v>2030</v>
      </c>
      <c r="F210">
        <v>49</v>
      </c>
      <c r="G210">
        <v>48</v>
      </c>
      <c r="H210">
        <v>1326</v>
      </c>
      <c r="I210">
        <v>286</v>
      </c>
      <c r="J210">
        <v>582</v>
      </c>
      <c r="K210">
        <v>0.49099999999999999</v>
      </c>
      <c r="L210">
        <v>13</v>
      </c>
      <c r="M210">
        <v>41</v>
      </c>
      <c r="N210">
        <v>0.317</v>
      </c>
      <c r="O210">
        <v>273</v>
      </c>
      <c r="P210">
        <v>541</v>
      </c>
      <c r="Q210">
        <v>0.505</v>
      </c>
      <c r="R210">
        <v>0.503</v>
      </c>
      <c r="S210">
        <v>93</v>
      </c>
      <c r="T210">
        <v>118</v>
      </c>
      <c r="U210">
        <v>0.78800000000000003</v>
      </c>
      <c r="V210">
        <v>147</v>
      </c>
      <c r="W210">
        <v>237</v>
      </c>
      <c r="X210">
        <v>384</v>
      </c>
      <c r="Y210">
        <v>26</v>
      </c>
      <c r="Z210">
        <v>23</v>
      </c>
      <c r="AA210">
        <v>16</v>
      </c>
      <c r="AB210">
        <v>93</v>
      </c>
      <c r="AC210">
        <v>114</v>
      </c>
      <c r="AD210">
        <v>678</v>
      </c>
    </row>
    <row r="211" spans="1:30" x14ac:dyDescent="0.3">
      <c r="A211">
        <v>160</v>
      </c>
      <c r="B211" t="s">
        <v>2152</v>
      </c>
      <c r="C211" t="s">
        <v>213</v>
      </c>
      <c r="D211">
        <v>22</v>
      </c>
      <c r="E211" t="s">
        <v>1964</v>
      </c>
      <c r="F211">
        <v>26</v>
      </c>
      <c r="G211">
        <v>26</v>
      </c>
      <c r="H211">
        <v>809</v>
      </c>
      <c r="I211">
        <v>196</v>
      </c>
      <c r="J211">
        <v>346</v>
      </c>
      <c r="K211">
        <v>0.56599999999999995</v>
      </c>
      <c r="L211">
        <v>3</v>
      </c>
      <c r="M211">
        <v>4</v>
      </c>
      <c r="N211">
        <v>0.75</v>
      </c>
      <c r="O211">
        <v>193</v>
      </c>
      <c r="P211">
        <v>342</v>
      </c>
      <c r="Q211">
        <v>0.56399999999999995</v>
      </c>
      <c r="R211">
        <v>0.57099999999999995</v>
      </c>
      <c r="S211">
        <v>90</v>
      </c>
      <c r="T211">
        <v>116</v>
      </c>
      <c r="U211">
        <v>0.77600000000000002</v>
      </c>
      <c r="V211">
        <v>130</v>
      </c>
      <c r="W211">
        <v>157</v>
      </c>
      <c r="X211">
        <v>287</v>
      </c>
      <c r="Y211">
        <v>29</v>
      </c>
      <c r="Z211">
        <v>13</v>
      </c>
      <c r="AA211">
        <v>13</v>
      </c>
      <c r="AB211">
        <v>52</v>
      </c>
      <c r="AC211">
        <v>75</v>
      </c>
      <c r="AD211">
        <v>485</v>
      </c>
    </row>
    <row r="212" spans="1:30" x14ac:dyDescent="0.3">
      <c r="A212" t="s">
        <v>1929</v>
      </c>
      <c r="B212" t="s">
        <v>1930</v>
      </c>
      <c r="C212" t="s">
        <v>1931</v>
      </c>
      <c r="D212" t="s">
        <v>198</v>
      </c>
      <c r="E212" t="s">
        <v>1932</v>
      </c>
      <c r="F212" t="s">
        <v>1933</v>
      </c>
      <c r="G212" t="s">
        <v>1934</v>
      </c>
      <c r="H212" t="s">
        <v>1935</v>
      </c>
      <c r="I212" t="s">
        <v>1936</v>
      </c>
      <c r="J212" t="s">
        <v>1937</v>
      </c>
      <c r="K212" t="s">
        <v>1938</v>
      </c>
      <c r="L212" t="s">
        <v>1939</v>
      </c>
      <c r="M212" t="s">
        <v>1940</v>
      </c>
      <c r="N212" t="s">
        <v>1941</v>
      </c>
      <c r="O212" t="s">
        <v>1942</v>
      </c>
      <c r="P212" t="s">
        <v>1943</v>
      </c>
      <c r="Q212" t="s">
        <v>1944</v>
      </c>
      <c r="R212" t="s">
        <v>1945</v>
      </c>
      <c r="S212" t="s">
        <v>1946</v>
      </c>
      <c r="T212" t="s">
        <v>1947</v>
      </c>
      <c r="U212" t="s">
        <v>1948</v>
      </c>
      <c r="V212" t="s">
        <v>1949</v>
      </c>
      <c r="W212" t="s">
        <v>1950</v>
      </c>
      <c r="X212" t="s">
        <v>1951</v>
      </c>
      <c r="Y212" t="s">
        <v>1952</v>
      </c>
      <c r="Z212" t="s">
        <v>1953</v>
      </c>
      <c r="AA212" t="s">
        <v>1954</v>
      </c>
      <c r="AB212" t="s">
        <v>1955</v>
      </c>
      <c r="AC212" t="s">
        <v>1956</v>
      </c>
      <c r="AD212" t="s">
        <v>1957</v>
      </c>
    </row>
    <row r="213" spans="1:30" x14ac:dyDescent="0.3">
      <c r="A213">
        <v>161</v>
      </c>
      <c r="B213" t="s">
        <v>2153</v>
      </c>
      <c r="C213" t="s">
        <v>213</v>
      </c>
      <c r="D213">
        <v>27</v>
      </c>
      <c r="E213" t="s">
        <v>1970</v>
      </c>
      <c r="F213">
        <v>48</v>
      </c>
      <c r="G213">
        <v>8</v>
      </c>
      <c r="H213">
        <v>617</v>
      </c>
      <c r="I213">
        <v>74</v>
      </c>
      <c r="J213">
        <v>151</v>
      </c>
      <c r="K213">
        <v>0.49</v>
      </c>
      <c r="L213">
        <v>0</v>
      </c>
      <c r="M213">
        <v>0</v>
      </c>
      <c r="O213">
        <v>74</v>
      </c>
      <c r="P213">
        <v>151</v>
      </c>
      <c r="Q213">
        <v>0.49</v>
      </c>
      <c r="R213">
        <v>0.49</v>
      </c>
      <c r="S213">
        <v>21</v>
      </c>
      <c r="T213">
        <v>25</v>
      </c>
      <c r="U213">
        <v>0.84</v>
      </c>
      <c r="V213">
        <v>62</v>
      </c>
      <c r="W213">
        <v>129</v>
      </c>
      <c r="X213">
        <v>191</v>
      </c>
      <c r="Y213">
        <v>16</v>
      </c>
      <c r="Z213">
        <v>9</v>
      </c>
      <c r="AA213">
        <v>23</v>
      </c>
      <c r="AB213">
        <v>23</v>
      </c>
      <c r="AC213">
        <v>93</v>
      </c>
      <c r="AD213">
        <v>169</v>
      </c>
    </row>
    <row r="214" spans="1:30" x14ac:dyDescent="0.3">
      <c r="A214">
        <v>162</v>
      </c>
      <c r="B214" t="s">
        <v>2154</v>
      </c>
      <c r="C214" t="s">
        <v>1956</v>
      </c>
      <c r="D214">
        <v>31</v>
      </c>
      <c r="E214" t="s">
        <v>2113</v>
      </c>
      <c r="F214">
        <v>75</v>
      </c>
      <c r="G214">
        <v>51</v>
      </c>
      <c r="H214">
        <v>1870</v>
      </c>
      <c r="I214">
        <v>191</v>
      </c>
      <c r="J214">
        <v>487</v>
      </c>
      <c r="K214">
        <v>0.39200000000000002</v>
      </c>
      <c r="L214">
        <v>136</v>
      </c>
      <c r="M214">
        <v>346</v>
      </c>
      <c r="N214">
        <v>0.39300000000000002</v>
      </c>
      <c r="O214">
        <v>55</v>
      </c>
      <c r="P214">
        <v>141</v>
      </c>
      <c r="Q214">
        <v>0.39</v>
      </c>
      <c r="R214">
        <v>0.53200000000000003</v>
      </c>
      <c r="S214">
        <v>31</v>
      </c>
      <c r="T214">
        <v>35</v>
      </c>
      <c r="U214">
        <v>0.88600000000000001</v>
      </c>
      <c r="V214">
        <v>27</v>
      </c>
      <c r="W214">
        <v>266</v>
      </c>
      <c r="X214">
        <v>293</v>
      </c>
      <c r="Y214">
        <v>94</v>
      </c>
      <c r="Z214">
        <v>47</v>
      </c>
      <c r="AA214">
        <v>39</v>
      </c>
      <c r="AB214">
        <v>78</v>
      </c>
      <c r="AC214">
        <v>191</v>
      </c>
      <c r="AD214">
        <v>549</v>
      </c>
    </row>
    <row r="215" spans="1:30" x14ac:dyDescent="0.3">
      <c r="A215">
        <v>163</v>
      </c>
      <c r="B215" t="s">
        <v>2155</v>
      </c>
      <c r="C215" t="s">
        <v>1981</v>
      </c>
      <c r="D215">
        <v>26</v>
      </c>
      <c r="E215" t="s">
        <v>1969</v>
      </c>
      <c r="F215">
        <v>59</v>
      </c>
      <c r="G215">
        <v>27</v>
      </c>
      <c r="H215">
        <v>1426</v>
      </c>
      <c r="I215">
        <v>228</v>
      </c>
      <c r="J215">
        <v>568</v>
      </c>
      <c r="K215">
        <v>0.40100000000000002</v>
      </c>
      <c r="L215">
        <v>107</v>
      </c>
      <c r="M215">
        <v>301</v>
      </c>
      <c r="N215">
        <v>0.35499999999999998</v>
      </c>
      <c r="O215">
        <v>121</v>
      </c>
      <c r="P215">
        <v>267</v>
      </c>
      <c r="Q215">
        <v>0.45300000000000001</v>
      </c>
      <c r="R215">
        <v>0.496</v>
      </c>
      <c r="S215">
        <v>171</v>
      </c>
      <c r="T215">
        <v>191</v>
      </c>
      <c r="U215">
        <v>0.89500000000000002</v>
      </c>
      <c r="V215">
        <v>31</v>
      </c>
      <c r="W215">
        <v>187</v>
      </c>
      <c r="X215">
        <v>218</v>
      </c>
      <c r="Y215">
        <v>83</v>
      </c>
      <c r="Z215">
        <v>47</v>
      </c>
      <c r="AA215">
        <v>20</v>
      </c>
      <c r="AB215">
        <v>57</v>
      </c>
      <c r="AC215">
        <v>94</v>
      </c>
      <c r="AD215">
        <v>734</v>
      </c>
    </row>
    <row r="216" spans="1:30" x14ac:dyDescent="0.3">
      <c r="A216">
        <v>164</v>
      </c>
      <c r="B216" t="s">
        <v>2156</v>
      </c>
      <c r="C216" t="s">
        <v>2004</v>
      </c>
      <c r="D216">
        <v>23</v>
      </c>
      <c r="E216" t="s">
        <v>1959</v>
      </c>
      <c r="F216">
        <v>45</v>
      </c>
      <c r="G216">
        <v>41</v>
      </c>
      <c r="H216">
        <v>1457</v>
      </c>
      <c r="I216">
        <v>204</v>
      </c>
      <c r="J216">
        <v>511</v>
      </c>
      <c r="K216">
        <v>0.39900000000000002</v>
      </c>
      <c r="L216">
        <v>62</v>
      </c>
      <c r="M216">
        <v>176</v>
      </c>
      <c r="N216">
        <v>0.35199999999999998</v>
      </c>
      <c r="O216">
        <v>142</v>
      </c>
      <c r="P216">
        <v>335</v>
      </c>
      <c r="Q216">
        <v>0.42399999999999999</v>
      </c>
      <c r="R216">
        <v>0.46</v>
      </c>
      <c r="S216">
        <v>63</v>
      </c>
      <c r="T216">
        <v>78</v>
      </c>
      <c r="U216">
        <v>0.80800000000000005</v>
      </c>
      <c r="V216">
        <v>37</v>
      </c>
      <c r="W216">
        <v>153</v>
      </c>
      <c r="X216">
        <v>190</v>
      </c>
      <c r="Y216">
        <v>150</v>
      </c>
      <c r="Z216">
        <v>52</v>
      </c>
      <c r="AA216">
        <v>12</v>
      </c>
      <c r="AB216">
        <v>61</v>
      </c>
      <c r="AC216">
        <v>129</v>
      </c>
      <c r="AD216">
        <v>533</v>
      </c>
    </row>
    <row r="217" spans="1:30" x14ac:dyDescent="0.3">
      <c r="A217">
        <v>165</v>
      </c>
      <c r="B217" t="s">
        <v>2157</v>
      </c>
      <c r="C217" t="s">
        <v>1981</v>
      </c>
      <c r="D217">
        <v>33</v>
      </c>
      <c r="E217" t="s">
        <v>2000</v>
      </c>
      <c r="F217">
        <v>14</v>
      </c>
      <c r="G217">
        <v>0</v>
      </c>
      <c r="H217">
        <v>200</v>
      </c>
      <c r="I217">
        <v>17</v>
      </c>
      <c r="J217">
        <v>63</v>
      </c>
      <c r="K217">
        <v>0.27</v>
      </c>
      <c r="L217">
        <v>10</v>
      </c>
      <c r="M217">
        <v>45</v>
      </c>
      <c r="N217">
        <v>0.222</v>
      </c>
      <c r="O217">
        <v>7</v>
      </c>
      <c r="P217">
        <v>18</v>
      </c>
      <c r="Q217">
        <v>0.38900000000000001</v>
      </c>
      <c r="R217">
        <v>0.34899999999999998</v>
      </c>
      <c r="S217">
        <v>1</v>
      </c>
      <c r="T217">
        <v>4</v>
      </c>
      <c r="U217">
        <v>0.25</v>
      </c>
      <c r="V217">
        <v>3</v>
      </c>
      <c r="W217">
        <v>14</v>
      </c>
      <c r="X217">
        <v>17</v>
      </c>
      <c r="Y217">
        <v>15</v>
      </c>
      <c r="Z217">
        <v>9</v>
      </c>
      <c r="AA217">
        <v>5</v>
      </c>
      <c r="AB217">
        <v>10</v>
      </c>
      <c r="AC217">
        <v>20</v>
      </c>
      <c r="AD217">
        <v>45</v>
      </c>
    </row>
    <row r="218" spans="1:30" x14ac:dyDescent="0.3">
      <c r="A218">
        <v>166</v>
      </c>
      <c r="B218" t="s">
        <v>2158</v>
      </c>
      <c r="C218" t="s">
        <v>1956</v>
      </c>
      <c r="D218">
        <v>38</v>
      </c>
      <c r="E218" t="s">
        <v>1968</v>
      </c>
      <c r="F218">
        <v>47</v>
      </c>
      <c r="G218">
        <v>47</v>
      </c>
      <c r="H218">
        <v>952</v>
      </c>
      <c r="I218">
        <v>143</v>
      </c>
      <c r="J218">
        <v>306</v>
      </c>
      <c r="K218">
        <v>0.46700000000000003</v>
      </c>
      <c r="L218">
        <v>1</v>
      </c>
      <c r="M218">
        <v>7</v>
      </c>
      <c r="N218">
        <v>0.14299999999999999</v>
      </c>
      <c r="O218">
        <v>142</v>
      </c>
      <c r="P218">
        <v>299</v>
      </c>
      <c r="Q218">
        <v>0.47499999999999998</v>
      </c>
      <c r="R218">
        <v>0.46899999999999997</v>
      </c>
      <c r="S218">
        <v>36</v>
      </c>
      <c r="T218">
        <v>45</v>
      </c>
      <c r="U218">
        <v>0.8</v>
      </c>
      <c r="V218">
        <v>48</v>
      </c>
      <c r="W218">
        <v>263</v>
      </c>
      <c r="X218">
        <v>311</v>
      </c>
      <c r="Y218">
        <v>77</v>
      </c>
      <c r="Z218">
        <v>46</v>
      </c>
      <c r="AA218">
        <v>17</v>
      </c>
      <c r="AB218">
        <v>46</v>
      </c>
      <c r="AC218">
        <v>109</v>
      </c>
      <c r="AD218">
        <v>323</v>
      </c>
    </row>
    <row r="219" spans="1:30" x14ac:dyDescent="0.3">
      <c r="A219">
        <v>166</v>
      </c>
      <c r="B219" t="s">
        <v>2158</v>
      </c>
      <c r="C219" t="s">
        <v>1956</v>
      </c>
      <c r="D219">
        <v>38</v>
      </c>
      <c r="E219" t="s">
        <v>1988</v>
      </c>
      <c r="F219">
        <v>42</v>
      </c>
      <c r="G219">
        <v>42</v>
      </c>
      <c r="H219">
        <v>854</v>
      </c>
      <c r="I219">
        <v>125</v>
      </c>
      <c r="J219">
        <v>275</v>
      </c>
      <c r="K219">
        <v>0.45500000000000002</v>
      </c>
      <c r="L219">
        <v>1</v>
      </c>
      <c r="M219">
        <v>6</v>
      </c>
      <c r="N219">
        <v>0.16700000000000001</v>
      </c>
      <c r="O219">
        <v>124</v>
      </c>
      <c r="P219">
        <v>269</v>
      </c>
      <c r="Q219">
        <v>0.46100000000000002</v>
      </c>
      <c r="R219">
        <v>0.45600000000000002</v>
      </c>
      <c r="S219">
        <v>34</v>
      </c>
      <c r="T219">
        <v>41</v>
      </c>
      <c r="U219">
        <v>0.82899999999999996</v>
      </c>
      <c r="V219">
        <v>46</v>
      </c>
      <c r="W219">
        <v>239</v>
      </c>
      <c r="X219">
        <v>285</v>
      </c>
      <c r="Y219">
        <v>69</v>
      </c>
      <c r="Z219">
        <v>41</v>
      </c>
      <c r="AA219">
        <v>13</v>
      </c>
      <c r="AB219">
        <v>45</v>
      </c>
      <c r="AC219">
        <v>96</v>
      </c>
      <c r="AD219">
        <v>285</v>
      </c>
    </row>
    <row r="220" spans="1:30" x14ac:dyDescent="0.3">
      <c r="A220">
        <v>166</v>
      </c>
      <c r="B220" t="s">
        <v>2158</v>
      </c>
      <c r="C220" t="s">
        <v>1956</v>
      </c>
      <c r="D220">
        <v>38</v>
      </c>
      <c r="E220" t="s">
        <v>1966</v>
      </c>
      <c r="F220">
        <v>5</v>
      </c>
      <c r="G220">
        <v>5</v>
      </c>
      <c r="H220">
        <v>98</v>
      </c>
      <c r="I220">
        <v>18</v>
      </c>
      <c r="J220">
        <v>31</v>
      </c>
      <c r="K220">
        <v>0.58099999999999996</v>
      </c>
      <c r="L220">
        <v>0</v>
      </c>
      <c r="M220">
        <v>1</v>
      </c>
      <c r="N220">
        <v>0</v>
      </c>
      <c r="O220">
        <v>18</v>
      </c>
      <c r="P220">
        <v>30</v>
      </c>
      <c r="Q220">
        <v>0.6</v>
      </c>
      <c r="R220">
        <v>0.58099999999999996</v>
      </c>
      <c r="S220">
        <v>2</v>
      </c>
      <c r="T220">
        <v>4</v>
      </c>
      <c r="U220">
        <v>0.5</v>
      </c>
      <c r="V220">
        <v>2</v>
      </c>
      <c r="W220">
        <v>24</v>
      </c>
      <c r="X220">
        <v>26</v>
      </c>
      <c r="Y220">
        <v>8</v>
      </c>
      <c r="Z220">
        <v>5</v>
      </c>
      <c r="AA220">
        <v>4</v>
      </c>
      <c r="AB220">
        <v>1</v>
      </c>
      <c r="AC220">
        <v>13</v>
      </c>
      <c r="AD220">
        <v>38</v>
      </c>
    </row>
    <row r="221" spans="1:30" x14ac:dyDescent="0.3">
      <c r="A221">
        <v>167</v>
      </c>
      <c r="B221" t="s">
        <v>2159</v>
      </c>
      <c r="C221" t="s">
        <v>213</v>
      </c>
      <c r="D221">
        <v>30</v>
      </c>
      <c r="E221" t="s">
        <v>1962</v>
      </c>
      <c r="F221">
        <v>81</v>
      </c>
      <c r="G221">
        <v>81</v>
      </c>
      <c r="H221">
        <v>2687</v>
      </c>
      <c r="I221">
        <v>530</v>
      </c>
      <c r="J221">
        <v>1072</v>
      </c>
      <c r="K221">
        <v>0.49399999999999999</v>
      </c>
      <c r="L221">
        <v>3</v>
      </c>
      <c r="M221">
        <v>17</v>
      </c>
      <c r="N221">
        <v>0.17599999999999999</v>
      </c>
      <c r="O221">
        <v>527</v>
      </c>
      <c r="P221">
        <v>1055</v>
      </c>
      <c r="Q221">
        <v>0.5</v>
      </c>
      <c r="R221">
        <v>0.496</v>
      </c>
      <c r="S221">
        <v>350</v>
      </c>
      <c r="T221">
        <v>440</v>
      </c>
      <c r="U221">
        <v>0.79500000000000004</v>
      </c>
      <c r="V221">
        <v>115</v>
      </c>
      <c r="W221">
        <v>515</v>
      </c>
      <c r="X221">
        <v>630</v>
      </c>
      <c r="Y221">
        <v>307</v>
      </c>
      <c r="Z221">
        <v>70</v>
      </c>
      <c r="AA221">
        <v>131</v>
      </c>
      <c r="AB221">
        <v>176</v>
      </c>
      <c r="AC221">
        <v>208</v>
      </c>
      <c r="AD221">
        <v>1413</v>
      </c>
    </row>
    <row r="222" spans="1:30" x14ac:dyDescent="0.3">
      <c r="A222">
        <v>168</v>
      </c>
      <c r="B222" t="s">
        <v>2160</v>
      </c>
      <c r="C222" t="s">
        <v>1956</v>
      </c>
      <c r="D222">
        <v>34</v>
      </c>
      <c r="E222" t="s">
        <v>2008</v>
      </c>
      <c r="F222">
        <v>78</v>
      </c>
      <c r="G222">
        <v>78</v>
      </c>
      <c r="H222">
        <v>2681</v>
      </c>
      <c r="I222">
        <v>570</v>
      </c>
      <c r="J222">
        <v>1153</v>
      </c>
      <c r="K222">
        <v>0.49399999999999999</v>
      </c>
      <c r="L222">
        <v>12</v>
      </c>
      <c r="M222">
        <v>26</v>
      </c>
      <c r="N222">
        <v>0.46200000000000002</v>
      </c>
      <c r="O222">
        <v>558</v>
      </c>
      <c r="P222">
        <v>1127</v>
      </c>
      <c r="Q222">
        <v>0.495</v>
      </c>
      <c r="R222">
        <v>0.5</v>
      </c>
      <c r="S222">
        <v>294</v>
      </c>
      <c r="T222">
        <v>366</v>
      </c>
      <c r="U222">
        <v>0.80300000000000005</v>
      </c>
      <c r="V222">
        <v>220</v>
      </c>
      <c r="W222">
        <v>699</v>
      </c>
      <c r="X222">
        <v>919</v>
      </c>
      <c r="Y222">
        <v>210</v>
      </c>
      <c r="Z222">
        <v>25</v>
      </c>
      <c r="AA222">
        <v>147</v>
      </c>
      <c r="AB222">
        <v>158</v>
      </c>
      <c r="AC222">
        <v>147</v>
      </c>
      <c r="AD222">
        <v>1446</v>
      </c>
    </row>
    <row r="223" spans="1:30" x14ac:dyDescent="0.3">
      <c r="A223">
        <v>169</v>
      </c>
      <c r="B223" t="s">
        <v>2161</v>
      </c>
      <c r="C223" t="s">
        <v>1981</v>
      </c>
      <c r="D223">
        <v>28</v>
      </c>
      <c r="E223" t="s">
        <v>2034</v>
      </c>
      <c r="F223">
        <v>68</v>
      </c>
      <c r="G223">
        <v>67</v>
      </c>
      <c r="H223">
        <v>2408</v>
      </c>
      <c r="I223">
        <v>508</v>
      </c>
      <c r="J223">
        <v>1116</v>
      </c>
      <c r="K223">
        <v>0.45500000000000002</v>
      </c>
      <c r="L223">
        <v>79</v>
      </c>
      <c r="M223">
        <v>220</v>
      </c>
      <c r="N223">
        <v>0.35899999999999999</v>
      </c>
      <c r="O223">
        <v>429</v>
      </c>
      <c r="P223">
        <v>896</v>
      </c>
      <c r="Q223">
        <v>0.47899999999999998</v>
      </c>
      <c r="R223">
        <v>0.49099999999999999</v>
      </c>
      <c r="S223">
        <v>337</v>
      </c>
      <c r="T223">
        <v>393</v>
      </c>
      <c r="U223">
        <v>0.85799999999999998</v>
      </c>
      <c r="V223">
        <v>98</v>
      </c>
      <c r="W223">
        <v>301</v>
      </c>
      <c r="X223">
        <v>399</v>
      </c>
      <c r="Y223">
        <v>250</v>
      </c>
      <c r="Z223">
        <v>71</v>
      </c>
      <c r="AA223">
        <v>41</v>
      </c>
      <c r="AB223">
        <v>183</v>
      </c>
      <c r="AC223">
        <v>157</v>
      </c>
      <c r="AD223">
        <v>1432</v>
      </c>
    </row>
    <row r="224" spans="1:30" x14ac:dyDescent="0.3">
      <c r="A224">
        <v>170</v>
      </c>
      <c r="B224" t="s">
        <v>2162</v>
      </c>
      <c r="C224" t="s">
        <v>1981</v>
      </c>
      <c r="D224">
        <v>27</v>
      </c>
      <c r="E224" t="s">
        <v>1968</v>
      </c>
      <c r="F224">
        <v>54</v>
      </c>
      <c r="G224">
        <v>2</v>
      </c>
      <c r="H224">
        <v>662</v>
      </c>
      <c r="I224">
        <v>87</v>
      </c>
      <c r="J224">
        <v>186</v>
      </c>
      <c r="K224">
        <v>0.46800000000000003</v>
      </c>
      <c r="L224">
        <v>13</v>
      </c>
      <c r="M224">
        <v>35</v>
      </c>
      <c r="N224">
        <v>0.371</v>
      </c>
      <c r="O224">
        <v>74</v>
      </c>
      <c r="P224">
        <v>151</v>
      </c>
      <c r="Q224">
        <v>0.49</v>
      </c>
      <c r="R224">
        <v>0.503</v>
      </c>
      <c r="S224">
        <v>54</v>
      </c>
      <c r="T224">
        <v>77</v>
      </c>
      <c r="U224">
        <v>0.70099999999999996</v>
      </c>
      <c r="V224">
        <v>37</v>
      </c>
      <c r="W224">
        <v>57</v>
      </c>
      <c r="X224">
        <v>94</v>
      </c>
      <c r="Y224">
        <v>25</v>
      </c>
      <c r="Z224">
        <v>35</v>
      </c>
      <c r="AA224">
        <v>7</v>
      </c>
      <c r="AB224">
        <v>33</v>
      </c>
      <c r="AC224">
        <v>58</v>
      </c>
      <c r="AD224">
        <v>241</v>
      </c>
    </row>
    <row r="225" spans="1:30" x14ac:dyDescent="0.3">
      <c r="A225">
        <v>170</v>
      </c>
      <c r="B225" t="s">
        <v>2162</v>
      </c>
      <c r="C225" t="s">
        <v>1981</v>
      </c>
      <c r="D225">
        <v>27</v>
      </c>
      <c r="E225" t="s">
        <v>1969</v>
      </c>
      <c r="F225">
        <v>39</v>
      </c>
      <c r="G225">
        <v>0</v>
      </c>
      <c r="H225">
        <v>511</v>
      </c>
      <c r="I225">
        <v>66</v>
      </c>
      <c r="J225">
        <v>137</v>
      </c>
      <c r="K225">
        <v>0.48199999999999998</v>
      </c>
      <c r="L225">
        <v>10</v>
      </c>
      <c r="M225">
        <v>24</v>
      </c>
      <c r="N225">
        <v>0.41699999999999998</v>
      </c>
      <c r="O225">
        <v>56</v>
      </c>
      <c r="P225">
        <v>113</v>
      </c>
      <c r="Q225">
        <v>0.496</v>
      </c>
      <c r="R225">
        <v>0.51800000000000002</v>
      </c>
      <c r="S225">
        <v>48</v>
      </c>
      <c r="T225">
        <v>65</v>
      </c>
      <c r="U225">
        <v>0.73799999999999999</v>
      </c>
      <c r="V225">
        <v>29</v>
      </c>
      <c r="W225">
        <v>41</v>
      </c>
      <c r="X225">
        <v>70</v>
      </c>
      <c r="Y225">
        <v>19</v>
      </c>
      <c r="Z225">
        <v>28</v>
      </c>
      <c r="AA225">
        <v>6</v>
      </c>
      <c r="AB225">
        <v>25</v>
      </c>
      <c r="AC225">
        <v>42</v>
      </c>
      <c r="AD225">
        <v>190</v>
      </c>
    </row>
    <row r="226" spans="1:30" x14ac:dyDescent="0.3">
      <c r="A226">
        <v>170</v>
      </c>
      <c r="B226" t="s">
        <v>2162</v>
      </c>
      <c r="C226" t="s">
        <v>1981</v>
      </c>
      <c r="D226">
        <v>27</v>
      </c>
      <c r="E226" t="s">
        <v>1970</v>
      </c>
      <c r="F226">
        <v>15</v>
      </c>
      <c r="G226">
        <v>2</v>
      </c>
      <c r="H226">
        <v>151</v>
      </c>
      <c r="I226">
        <v>21</v>
      </c>
      <c r="J226">
        <v>49</v>
      </c>
      <c r="K226">
        <v>0.42899999999999999</v>
      </c>
      <c r="L226">
        <v>3</v>
      </c>
      <c r="M226">
        <v>11</v>
      </c>
      <c r="N226">
        <v>0.27300000000000002</v>
      </c>
      <c r="O226">
        <v>18</v>
      </c>
      <c r="P226">
        <v>38</v>
      </c>
      <c r="Q226">
        <v>0.47399999999999998</v>
      </c>
      <c r="R226">
        <v>0.45900000000000002</v>
      </c>
      <c r="S226">
        <v>6</v>
      </c>
      <c r="T226">
        <v>12</v>
      </c>
      <c r="U226">
        <v>0.5</v>
      </c>
      <c r="V226">
        <v>8</v>
      </c>
      <c r="W226">
        <v>16</v>
      </c>
      <c r="X226">
        <v>24</v>
      </c>
      <c r="Y226">
        <v>6</v>
      </c>
      <c r="Z226">
        <v>7</v>
      </c>
      <c r="AA226">
        <v>1</v>
      </c>
      <c r="AB226">
        <v>8</v>
      </c>
      <c r="AC226">
        <v>16</v>
      </c>
      <c r="AD226">
        <v>51</v>
      </c>
    </row>
    <row r="227" spans="1:30" x14ac:dyDescent="0.3">
      <c r="A227">
        <v>171</v>
      </c>
      <c r="B227" t="s">
        <v>2163</v>
      </c>
      <c r="C227" t="s">
        <v>1981</v>
      </c>
      <c r="D227">
        <v>24</v>
      </c>
      <c r="E227" t="s">
        <v>1978</v>
      </c>
      <c r="F227">
        <v>6</v>
      </c>
      <c r="G227">
        <v>0</v>
      </c>
      <c r="H227">
        <v>91</v>
      </c>
      <c r="I227">
        <v>18</v>
      </c>
      <c r="J227">
        <v>49</v>
      </c>
      <c r="K227">
        <v>0.36699999999999999</v>
      </c>
      <c r="L227">
        <v>9</v>
      </c>
      <c r="M227">
        <v>22</v>
      </c>
      <c r="N227">
        <v>0.40899999999999997</v>
      </c>
      <c r="O227">
        <v>9</v>
      </c>
      <c r="P227">
        <v>27</v>
      </c>
      <c r="Q227">
        <v>0.33300000000000002</v>
      </c>
      <c r="R227">
        <v>0.45900000000000002</v>
      </c>
      <c r="S227">
        <v>8</v>
      </c>
      <c r="T227">
        <v>11</v>
      </c>
      <c r="U227">
        <v>0.72699999999999998</v>
      </c>
      <c r="V227">
        <v>4</v>
      </c>
      <c r="W227">
        <v>18</v>
      </c>
      <c r="X227">
        <v>22</v>
      </c>
      <c r="Y227">
        <v>6</v>
      </c>
      <c r="Z227">
        <v>5</v>
      </c>
      <c r="AA227">
        <v>1</v>
      </c>
      <c r="AB227">
        <v>12</v>
      </c>
      <c r="AC227">
        <v>11</v>
      </c>
      <c r="AD227">
        <v>53</v>
      </c>
    </row>
    <row r="228" spans="1:30" x14ac:dyDescent="0.3">
      <c r="A228">
        <v>172</v>
      </c>
      <c r="B228" t="s">
        <v>2164</v>
      </c>
      <c r="C228" t="s">
        <v>1956</v>
      </c>
      <c r="D228">
        <v>29</v>
      </c>
      <c r="E228" t="s">
        <v>2008</v>
      </c>
      <c r="F228">
        <v>62</v>
      </c>
      <c r="G228">
        <v>17</v>
      </c>
      <c r="H228">
        <v>1692</v>
      </c>
      <c r="I228">
        <v>254</v>
      </c>
      <c r="J228">
        <v>506</v>
      </c>
      <c r="K228">
        <v>0.502</v>
      </c>
      <c r="L228">
        <v>0</v>
      </c>
      <c r="M228">
        <v>0</v>
      </c>
      <c r="O228">
        <v>254</v>
      </c>
      <c r="P228">
        <v>506</v>
      </c>
      <c r="Q228">
        <v>0.502</v>
      </c>
      <c r="R228">
        <v>0.502</v>
      </c>
      <c r="S228">
        <v>132</v>
      </c>
      <c r="T228">
        <v>184</v>
      </c>
      <c r="U228">
        <v>0.71699999999999997</v>
      </c>
      <c r="V228">
        <v>162</v>
      </c>
      <c r="W228">
        <v>234</v>
      </c>
      <c r="X228">
        <v>396</v>
      </c>
      <c r="Y228">
        <v>71</v>
      </c>
      <c r="Z228">
        <v>36</v>
      </c>
      <c r="AA228">
        <v>75</v>
      </c>
      <c r="AB228">
        <v>77</v>
      </c>
      <c r="AC228">
        <v>162</v>
      </c>
      <c r="AD228">
        <v>640</v>
      </c>
    </row>
    <row r="229" spans="1:30" x14ac:dyDescent="0.3">
      <c r="A229">
        <v>173</v>
      </c>
      <c r="B229" t="s">
        <v>2165</v>
      </c>
      <c r="C229" t="s">
        <v>1961</v>
      </c>
      <c r="D229">
        <v>37</v>
      </c>
      <c r="E229" t="s">
        <v>1990</v>
      </c>
      <c r="F229">
        <v>70</v>
      </c>
      <c r="G229">
        <v>0</v>
      </c>
      <c r="H229">
        <v>1587</v>
      </c>
      <c r="I229">
        <v>251</v>
      </c>
      <c r="J229">
        <v>589</v>
      </c>
      <c r="K229">
        <v>0.42599999999999999</v>
      </c>
      <c r="L229">
        <v>89</v>
      </c>
      <c r="M229">
        <v>258</v>
      </c>
      <c r="N229">
        <v>0.34499999999999997</v>
      </c>
      <c r="O229">
        <v>162</v>
      </c>
      <c r="P229">
        <v>331</v>
      </c>
      <c r="Q229">
        <v>0.48899999999999999</v>
      </c>
      <c r="R229">
        <v>0.502</v>
      </c>
      <c r="S229">
        <v>147</v>
      </c>
      <c r="T229">
        <v>204</v>
      </c>
      <c r="U229">
        <v>0.72099999999999997</v>
      </c>
      <c r="V229">
        <v>28</v>
      </c>
      <c r="W229">
        <v>183</v>
      </c>
      <c r="X229">
        <v>211</v>
      </c>
      <c r="Y229">
        <v>293</v>
      </c>
      <c r="Z229">
        <v>67</v>
      </c>
      <c r="AA229">
        <v>20</v>
      </c>
      <c r="AB229">
        <v>154</v>
      </c>
      <c r="AC229">
        <v>138</v>
      </c>
      <c r="AD229">
        <v>738</v>
      </c>
    </row>
    <row r="230" spans="1:30" x14ac:dyDescent="0.3">
      <c r="A230">
        <v>174</v>
      </c>
      <c r="B230" t="s">
        <v>2166</v>
      </c>
      <c r="C230" t="s">
        <v>213</v>
      </c>
      <c r="D230">
        <v>22</v>
      </c>
      <c r="E230" t="s">
        <v>2030</v>
      </c>
      <c r="F230">
        <v>82</v>
      </c>
      <c r="G230">
        <v>37</v>
      </c>
      <c r="H230">
        <v>2158</v>
      </c>
      <c r="I230">
        <v>258</v>
      </c>
      <c r="J230">
        <v>427</v>
      </c>
      <c r="K230">
        <v>0.60399999999999998</v>
      </c>
      <c r="L230">
        <v>0</v>
      </c>
      <c r="M230">
        <v>2</v>
      </c>
      <c r="N230">
        <v>0</v>
      </c>
      <c r="O230">
        <v>258</v>
      </c>
      <c r="P230">
        <v>425</v>
      </c>
      <c r="Q230">
        <v>0.60699999999999998</v>
      </c>
      <c r="R230">
        <v>0.60399999999999998</v>
      </c>
      <c r="S230">
        <v>170</v>
      </c>
      <c r="T230">
        <v>273</v>
      </c>
      <c r="U230">
        <v>0.623</v>
      </c>
      <c r="V230">
        <v>265</v>
      </c>
      <c r="W230">
        <v>510</v>
      </c>
      <c r="X230">
        <v>775</v>
      </c>
      <c r="Y230">
        <v>109</v>
      </c>
      <c r="Z230">
        <v>64</v>
      </c>
      <c r="AA230">
        <v>189</v>
      </c>
      <c r="AB230">
        <v>111</v>
      </c>
      <c r="AC230">
        <v>175</v>
      </c>
      <c r="AD230">
        <v>686</v>
      </c>
    </row>
    <row r="231" spans="1:30" x14ac:dyDescent="0.3">
      <c r="A231">
        <v>175</v>
      </c>
      <c r="B231" t="s">
        <v>2167</v>
      </c>
      <c r="C231" t="s">
        <v>1956</v>
      </c>
      <c r="D231">
        <v>33</v>
      </c>
      <c r="E231" t="s">
        <v>2026</v>
      </c>
      <c r="F231">
        <v>51</v>
      </c>
      <c r="G231">
        <v>7</v>
      </c>
      <c r="H231">
        <v>864</v>
      </c>
      <c r="I231">
        <v>110</v>
      </c>
      <c r="J231">
        <v>276</v>
      </c>
      <c r="K231">
        <v>0.39900000000000002</v>
      </c>
      <c r="L231">
        <v>23</v>
      </c>
      <c r="M231">
        <v>59</v>
      </c>
      <c r="N231">
        <v>0.39</v>
      </c>
      <c r="O231">
        <v>87</v>
      </c>
      <c r="P231">
        <v>217</v>
      </c>
      <c r="Q231">
        <v>0.40100000000000002</v>
      </c>
      <c r="R231">
        <v>0.44</v>
      </c>
      <c r="S231">
        <v>34</v>
      </c>
      <c r="T231">
        <v>44</v>
      </c>
      <c r="U231">
        <v>0.77300000000000002</v>
      </c>
      <c r="V231">
        <v>72</v>
      </c>
      <c r="W231">
        <v>151</v>
      </c>
      <c r="X231">
        <v>223</v>
      </c>
      <c r="Y231">
        <v>49</v>
      </c>
      <c r="Z231">
        <v>21</v>
      </c>
      <c r="AA231">
        <v>9</v>
      </c>
      <c r="AB231">
        <v>28</v>
      </c>
      <c r="AC231">
        <v>91</v>
      </c>
      <c r="AD231">
        <v>277</v>
      </c>
    </row>
    <row r="232" spans="1:30" x14ac:dyDescent="0.3">
      <c r="A232">
        <v>176</v>
      </c>
      <c r="B232" t="s">
        <v>2168</v>
      </c>
      <c r="C232" t="s">
        <v>1961</v>
      </c>
      <c r="D232">
        <v>20</v>
      </c>
      <c r="E232" t="s">
        <v>2017</v>
      </c>
      <c r="F232">
        <v>41</v>
      </c>
      <c r="G232">
        <v>2</v>
      </c>
      <c r="H232">
        <v>535</v>
      </c>
      <c r="I232">
        <v>79</v>
      </c>
      <c r="J232">
        <v>201</v>
      </c>
      <c r="K232">
        <v>0.39300000000000002</v>
      </c>
      <c r="L232">
        <v>12</v>
      </c>
      <c r="M232">
        <v>41</v>
      </c>
      <c r="N232">
        <v>0.29299999999999998</v>
      </c>
      <c r="O232">
        <v>67</v>
      </c>
      <c r="P232">
        <v>160</v>
      </c>
      <c r="Q232">
        <v>0.41899999999999998</v>
      </c>
      <c r="R232">
        <v>0.42299999999999999</v>
      </c>
      <c r="S232">
        <v>61</v>
      </c>
      <c r="T232">
        <v>83</v>
      </c>
      <c r="U232">
        <v>0.73499999999999999</v>
      </c>
      <c r="V232">
        <v>27</v>
      </c>
      <c r="W232">
        <v>47</v>
      </c>
      <c r="X232">
        <v>74</v>
      </c>
      <c r="Y232">
        <v>44</v>
      </c>
      <c r="Z232">
        <v>18</v>
      </c>
      <c r="AA232">
        <v>9</v>
      </c>
      <c r="AB232">
        <v>48</v>
      </c>
      <c r="AC232">
        <v>55</v>
      </c>
      <c r="AD232">
        <v>231</v>
      </c>
    </row>
    <row r="233" spans="1:30" x14ac:dyDescent="0.3">
      <c r="A233">
        <v>177</v>
      </c>
      <c r="B233" t="s">
        <v>2169</v>
      </c>
      <c r="C233" t="s">
        <v>1956</v>
      </c>
      <c r="D233">
        <v>19</v>
      </c>
      <c r="E233" t="s">
        <v>2113</v>
      </c>
      <c r="F233">
        <v>47</v>
      </c>
      <c r="G233">
        <v>8</v>
      </c>
      <c r="H233">
        <v>797</v>
      </c>
      <c r="I233">
        <v>93</v>
      </c>
      <c r="J233">
        <v>208</v>
      </c>
      <c r="K233">
        <v>0.44700000000000001</v>
      </c>
      <c r="L233">
        <v>13</v>
      </c>
      <c r="M233">
        <v>48</v>
      </c>
      <c r="N233">
        <v>0.27100000000000002</v>
      </c>
      <c r="O233">
        <v>80</v>
      </c>
      <c r="P233">
        <v>160</v>
      </c>
      <c r="Q233">
        <v>0.5</v>
      </c>
      <c r="R233">
        <v>0.47799999999999998</v>
      </c>
      <c r="S233">
        <v>44</v>
      </c>
      <c r="T233">
        <v>61</v>
      </c>
      <c r="U233">
        <v>0.72099999999999997</v>
      </c>
      <c r="V233">
        <v>46</v>
      </c>
      <c r="W233">
        <v>123</v>
      </c>
      <c r="X233">
        <v>169</v>
      </c>
      <c r="Y233">
        <v>33</v>
      </c>
      <c r="Z233">
        <v>21</v>
      </c>
      <c r="AA233">
        <v>22</v>
      </c>
      <c r="AB233">
        <v>38</v>
      </c>
      <c r="AC233">
        <v>83</v>
      </c>
      <c r="AD233">
        <v>243</v>
      </c>
    </row>
    <row r="234" spans="1:30" x14ac:dyDescent="0.3">
      <c r="A234">
        <v>178</v>
      </c>
      <c r="B234" t="s">
        <v>2170</v>
      </c>
      <c r="C234" t="s">
        <v>1961</v>
      </c>
      <c r="D234">
        <v>31</v>
      </c>
      <c r="E234" t="s">
        <v>2113</v>
      </c>
      <c r="F234">
        <v>56</v>
      </c>
      <c r="G234">
        <v>0</v>
      </c>
      <c r="H234">
        <v>790</v>
      </c>
      <c r="I234">
        <v>129</v>
      </c>
      <c r="J234">
        <v>295</v>
      </c>
      <c r="K234">
        <v>0.437</v>
      </c>
      <c r="L234">
        <v>35</v>
      </c>
      <c r="M234">
        <v>97</v>
      </c>
      <c r="N234">
        <v>0.36099999999999999</v>
      </c>
      <c r="O234">
        <v>94</v>
      </c>
      <c r="P234">
        <v>198</v>
      </c>
      <c r="Q234">
        <v>0.47499999999999998</v>
      </c>
      <c r="R234">
        <v>0.497</v>
      </c>
      <c r="S234">
        <v>56</v>
      </c>
      <c r="T234">
        <v>67</v>
      </c>
      <c r="U234">
        <v>0.83599999999999997</v>
      </c>
      <c r="V234">
        <v>6</v>
      </c>
      <c r="W234">
        <v>57</v>
      </c>
      <c r="X234">
        <v>63</v>
      </c>
      <c r="Y234">
        <v>50</v>
      </c>
      <c r="Z234">
        <v>14</v>
      </c>
      <c r="AA234">
        <v>1</v>
      </c>
      <c r="AB234">
        <v>55</v>
      </c>
      <c r="AC234">
        <v>60</v>
      </c>
      <c r="AD234">
        <v>349</v>
      </c>
    </row>
    <row r="235" spans="1:30" x14ac:dyDescent="0.3">
      <c r="A235">
        <v>179</v>
      </c>
      <c r="B235" t="s">
        <v>2171</v>
      </c>
      <c r="C235" t="s">
        <v>1956</v>
      </c>
      <c r="D235">
        <v>24</v>
      </c>
      <c r="E235" t="s">
        <v>1974</v>
      </c>
      <c r="F235">
        <v>9</v>
      </c>
      <c r="G235">
        <v>0</v>
      </c>
      <c r="H235">
        <v>71</v>
      </c>
      <c r="I235">
        <v>8</v>
      </c>
      <c r="J235">
        <v>19</v>
      </c>
      <c r="K235">
        <v>0.42099999999999999</v>
      </c>
      <c r="L235">
        <v>0</v>
      </c>
      <c r="M235">
        <v>3</v>
      </c>
      <c r="N235">
        <v>0</v>
      </c>
      <c r="O235">
        <v>8</v>
      </c>
      <c r="P235">
        <v>16</v>
      </c>
      <c r="Q235">
        <v>0.5</v>
      </c>
      <c r="R235">
        <v>0.42099999999999999</v>
      </c>
      <c r="S235">
        <v>1</v>
      </c>
      <c r="T235">
        <v>2</v>
      </c>
      <c r="U235">
        <v>0.5</v>
      </c>
      <c r="V235">
        <v>7</v>
      </c>
      <c r="W235">
        <v>11</v>
      </c>
      <c r="X235">
        <v>18</v>
      </c>
      <c r="Y235">
        <v>2</v>
      </c>
      <c r="Z235">
        <v>1</v>
      </c>
      <c r="AA235">
        <v>0</v>
      </c>
      <c r="AB235">
        <v>8</v>
      </c>
      <c r="AC235">
        <v>7</v>
      </c>
      <c r="AD235">
        <v>17</v>
      </c>
    </row>
    <row r="236" spans="1:30" x14ac:dyDescent="0.3">
      <c r="A236">
        <v>180</v>
      </c>
      <c r="B236" t="s">
        <v>2172</v>
      </c>
      <c r="C236" t="s">
        <v>1961</v>
      </c>
      <c r="D236">
        <v>26</v>
      </c>
      <c r="E236" t="s">
        <v>1972</v>
      </c>
      <c r="F236">
        <v>61</v>
      </c>
      <c r="G236">
        <v>60</v>
      </c>
      <c r="H236">
        <v>2018</v>
      </c>
      <c r="I236">
        <v>285</v>
      </c>
      <c r="J236">
        <v>694</v>
      </c>
      <c r="K236">
        <v>0.41099999999999998</v>
      </c>
      <c r="L236">
        <v>141</v>
      </c>
      <c r="M236">
        <v>315</v>
      </c>
      <c r="N236">
        <v>0.44800000000000001</v>
      </c>
      <c r="O236">
        <v>144</v>
      </c>
      <c r="P236">
        <v>379</v>
      </c>
      <c r="Q236">
        <v>0.38</v>
      </c>
      <c r="R236">
        <v>0.51200000000000001</v>
      </c>
      <c r="S236">
        <v>107</v>
      </c>
      <c r="T236">
        <v>133</v>
      </c>
      <c r="U236">
        <v>0.80500000000000005</v>
      </c>
      <c r="V236">
        <v>28</v>
      </c>
      <c r="W236">
        <v>131</v>
      </c>
      <c r="X236">
        <v>159</v>
      </c>
      <c r="Y236">
        <v>229</v>
      </c>
      <c r="Z236">
        <v>50</v>
      </c>
      <c r="AA236">
        <v>14</v>
      </c>
      <c r="AB236">
        <v>122</v>
      </c>
      <c r="AC236">
        <v>145</v>
      </c>
      <c r="AD236">
        <v>818</v>
      </c>
    </row>
    <row r="237" spans="1:30" x14ac:dyDescent="0.3">
      <c r="A237" t="s">
        <v>1929</v>
      </c>
      <c r="B237" t="s">
        <v>1930</v>
      </c>
      <c r="C237" t="s">
        <v>1931</v>
      </c>
      <c r="D237" t="s">
        <v>198</v>
      </c>
      <c r="E237" t="s">
        <v>1932</v>
      </c>
      <c r="F237" t="s">
        <v>1933</v>
      </c>
      <c r="G237" t="s">
        <v>1934</v>
      </c>
      <c r="H237" t="s">
        <v>1935</v>
      </c>
      <c r="I237" t="s">
        <v>1936</v>
      </c>
      <c r="J237" t="s">
        <v>1937</v>
      </c>
      <c r="K237" t="s">
        <v>1938</v>
      </c>
      <c r="L237" t="s">
        <v>1939</v>
      </c>
      <c r="M237" t="s">
        <v>1940</v>
      </c>
      <c r="N237" t="s">
        <v>1941</v>
      </c>
      <c r="O237" t="s">
        <v>1942</v>
      </c>
      <c r="P237" t="s">
        <v>1943</v>
      </c>
      <c r="Q237" t="s">
        <v>1944</v>
      </c>
      <c r="R237" t="s">
        <v>1945</v>
      </c>
      <c r="S237" t="s">
        <v>1946</v>
      </c>
      <c r="T237" t="s">
        <v>1947</v>
      </c>
      <c r="U237" t="s">
        <v>1948</v>
      </c>
      <c r="V237" t="s">
        <v>1949</v>
      </c>
      <c r="W237" t="s">
        <v>1950</v>
      </c>
      <c r="X237" t="s">
        <v>1951</v>
      </c>
      <c r="Y237" t="s">
        <v>1952</v>
      </c>
      <c r="Z237" t="s">
        <v>1953</v>
      </c>
      <c r="AA237" t="s">
        <v>1954</v>
      </c>
      <c r="AB237" t="s">
        <v>1955</v>
      </c>
      <c r="AC237" t="s">
        <v>1956</v>
      </c>
      <c r="AD237" t="s">
        <v>1957</v>
      </c>
    </row>
    <row r="238" spans="1:30" x14ac:dyDescent="0.3">
      <c r="A238">
        <v>181</v>
      </c>
      <c r="B238" t="s">
        <v>2173</v>
      </c>
      <c r="C238" t="s">
        <v>213</v>
      </c>
      <c r="D238">
        <v>30</v>
      </c>
      <c r="E238" t="s">
        <v>2026</v>
      </c>
      <c r="F238">
        <v>82</v>
      </c>
      <c r="G238">
        <v>82</v>
      </c>
      <c r="H238">
        <v>2453</v>
      </c>
      <c r="I238">
        <v>439</v>
      </c>
      <c r="J238">
        <v>775</v>
      </c>
      <c r="K238">
        <v>0.56599999999999995</v>
      </c>
      <c r="L238">
        <v>0</v>
      </c>
      <c r="M238">
        <v>3</v>
      </c>
      <c r="N238">
        <v>0</v>
      </c>
      <c r="O238">
        <v>439</v>
      </c>
      <c r="P238">
        <v>772</v>
      </c>
      <c r="Q238">
        <v>0.56899999999999995</v>
      </c>
      <c r="R238">
        <v>0.56599999999999995</v>
      </c>
      <c r="S238">
        <v>123</v>
      </c>
      <c r="T238">
        <v>175</v>
      </c>
      <c r="U238">
        <v>0.70299999999999996</v>
      </c>
      <c r="V238">
        <v>180</v>
      </c>
      <c r="W238">
        <v>537</v>
      </c>
      <c r="X238">
        <v>717</v>
      </c>
      <c r="Y238">
        <v>97</v>
      </c>
      <c r="Z238">
        <v>49</v>
      </c>
      <c r="AA238">
        <v>110</v>
      </c>
      <c r="AB238">
        <v>100</v>
      </c>
      <c r="AC238">
        <v>191</v>
      </c>
      <c r="AD238">
        <v>1001</v>
      </c>
    </row>
    <row r="239" spans="1:30" x14ac:dyDescent="0.3">
      <c r="A239">
        <v>182</v>
      </c>
      <c r="B239" t="s">
        <v>2174</v>
      </c>
      <c r="C239" t="s">
        <v>1981</v>
      </c>
      <c r="D239">
        <v>31</v>
      </c>
      <c r="E239" t="s">
        <v>1986</v>
      </c>
      <c r="F239">
        <v>30</v>
      </c>
      <c r="G239">
        <v>6</v>
      </c>
      <c r="H239">
        <v>613</v>
      </c>
      <c r="I239">
        <v>65</v>
      </c>
      <c r="J239">
        <v>162</v>
      </c>
      <c r="K239">
        <v>0.40100000000000002</v>
      </c>
      <c r="L239">
        <v>30</v>
      </c>
      <c r="M239">
        <v>84</v>
      </c>
      <c r="N239">
        <v>0.35699999999999998</v>
      </c>
      <c r="O239">
        <v>35</v>
      </c>
      <c r="P239">
        <v>78</v>
      </c>
      <c r="Q239">
        <v>0.44900000000000001</v>
      </c>
      <c r="R239">
        <v>0.49399999999999999</v>
      </c>
      <c r="S239">
        <v>28</v>
      </c>
      <c r="T239">
        <v>37</v>
      </c>
      <c r="U239">
        <v>0.75700000000000001</v>
      </c>
      <c r="V239">
        <v>20</v>
      </c>
      <c r="W239">
        <v>60</v>
      </c>
      <c r="X239">
        <v>80</v>
      </c>
      <c r="Y239">
        <v>17</v>
      </c>
      <c r="Z239">
        <v>13</v>
      </c>
      <c r="AA239">
        <v>6</v>
      </c>
      <c r="AB239">
        <v>24</v>
      </c>
      <c r="AC239">
        <v>67</v>
      </c>
      <c r="AD239">
        <v>188</v>
      </c>
    </row>
    <row r="240" spans="1:30" x14ac:dyDescent="0.3">
      <c r="A240">
        <v>183</v>
      </c>
      <c r="B240" t="s">
        <v>2175</v>
      </c>
      <c r="C240" t="s">
        <v>1981</v>
      </c>
      <c r="D240">
        <v>20</v>
      </c>
      <c r="E240" t="s">
        <v>1974</v>
      </c>
      <c r="F240">
        <v>65</v>
      </c>
      <c r="G240">
        <v>11</v>
      </c>
      <c r="H240">
        <v>1377</v>
      </c>
      <c r="I240">
        <v>124</v>
      </c>
      <c r="J240">
        <v>352</v>
      </c>
      <c r="K240">
        <v>0.35199999999999998</v>
      </c>
      <c r="L240">
        <v>49</v>
      </c>
      <c r="M240">
        <v>156</v>
      </c>
      <c r="N240">
        <v>0.314</v>
      </c>
      <c r="O240">
        <v>75</v>
      </c>
      <c r="P240">
        <v>196</v>
      </c>
      <c r="Q240">
        <v>0.38300000000000001</v>
      </c>
      <c r="R240">
        <v>0.42199999999999999</v>
      </c>
      <c r="S240">
        <v>114</v>
      </c>
      <c r="T240">
        <v>193</v>
      </c>
      <c r="U240">
        <v>0.59099999999999997</v>
      </c>
      <c r="V240">
        <v>49</v>
      </c>
      <c r="W240">
        <v>149</v>
      </c>
      <c r="X240">
        <v>198</v>
      </c>
      <c r="Y240">
        <v>79</v>
      </c>
      <c r="Z240">
        <v>40</v>
      </c>
      <c r="AA240">
        <v>68</v>
      </c>
      <c r="AB240">
        <v>85</v>
      </c>
      <c r="AC240">
        <v>144</v>
      </c>
      <c r="AD240">
        <v>411</v>
      </c>
    </row>
    <row r="241" spans="1:30" x14ac:dyDescent="0.3">
      <c r="A241">
        <v>184</v>
      </c>
      <c r="B241" t="s">
        <v>2176</v>
      </c>
      <c r="C241" t="s">
        <v>1961</v>
      </c>
      <c r="D241">
        <v>27</v>
      </c>
      <c r="E241" t="s">
        <v>1990</v>
      </c>
      <c r="F241">
        <v>81</v>
      </c>
      <c r="G241">
        <v>80</v>
      </c>
      <c r="H241">
        <v>2312</v>
      </c>
      <c r="I241">
        <v>322</v>
      </c>
      <c r="J241">
        <v>738</v>
      </c>
      <c r="K241">
        <v>0.436</v>
      </c>
      <c r="L241">
        <v>191</v>
      </c>
      <c r="M241">
        <v>457</v>
      </c>
      <c r="N241">
        <v>0.41799999999999998</v>
      </c>
      <c r="O241">
        <v>131</v>
      </c>
      <c r="P241">
        <v>281</v>
      </c>
      <c r="Q241">
        <v>0.46600000000000003</v>
      </c>
      <c r="R241">
        <v>0.56599999999999995</v>
      </c>
      <c r="S241">
        <v>111</v>
      </c>
      <c r="T241">
        <v>127</v>
      </c>
      <c r="U241">
        <v>0.874</v>
      </c>
      <c r="V241">
        <v>54</v>
      </c>
      <c r="W241">
        <v>289</v>
      </c>
      <c r="X241">
        <v>343</v>
      </c>
      <c r="Y241">
        <v>158</v>
      </c>
      <c r="Z241">
        <v>101</v>
      </c>
      <c r="AA241">
        <v>87</v>
      </c>
      <c r="AB241">
        <v>93</v>
      </c>
      <c r="AC241">
        <v>163</v>
      </c>
      <c r="AD241">
        <v>946</v>
      </c>
    </row>
    <row r="242" spans="1:30" x14ac:dyDescent="0.3">
      <c r="A242">
        <v>185</v>
      </c>
      <c r="B242" t="s">
        <v>2177</v>
      </c>
      <c r="C242" t="s">
        <v>1956</v>
      </c>
      <c r="D242">
        <v>24</v>
      </c>
      <c r="E242" t="s">
        <v>2010</v>
      </c>
      <c r="F242">
        <v>79</v>
      </c>
      <c r="G242">
        <v>79</v>
      </c>
      <c r="H242">
        <v>2490</v>
      </c>
      <c r="I242">
        <v>339</v>
      </c>
      <c r="J242">
        <v>765</v>
      </c>
      <c r="K242">
        <v>0.443</v>
      </c>
      <c r="L242">
        <v>111</v>
      </c>
      <c r="M242">
        <v>329</v>
      </c>
      <c r="N242">
        <v>0.33700000000000002</v>
      </c>
      <c r="O242">
        <v>228</v>
      </c>
      <c r="P242">
        <v>436</v>
      </c>
      <c r="Q242">
        <v>0.52300000000000002</v>
      </c>
      <c r="R242">
        <v>0.51600000000000001</v>
      </c>
      <c r="S242">
        <v>132</v>
      </c>
      <c r="T242">
        <v>200</v>
      </c>
      <c r="U242">
        <v>0.66</v>
      </c>
      <c r="V242">
        <v>114</v>
      </c>
      <c r="W242">
        <v>533</v>
      </c>
      <c r="X242">
        <v>647</v>
      </c>
      <c r="Y242">
        <v>291</v>
      </c>
      <c r="Z242">
        <v>123</v>
      </c>
      <c r="AA242">
        <v>99</v>
      </c>
      <c r="AB242">
        <v>133</v>
      </c>
      <c r="AC242">
        <v>253</v>
      </c>
      <c r="AD242">
        <v>921</v>
      </c>
    </row>
    <row r="243" spans="1:30" x14ac:dyDescent="0.3">
      <c r="A243">
        <v>186</v>
      </c>
      <c r="B243" t="s">
        <v>2178</v>
      </c>
      <c r="C243" t="s">
        <v>2004</v>
      </c>
      <c r="D243">
        <v>23</v>
      </c>
      <c r="E243" t="s">
        <v>1969</v>
      </c>
      <c r="F243">
        <v>43</v>
      </c>
      <c r="G243">
        <v>1</v>
      </c>
      <c r="H243">
        <v>410</v>
      </c>
      <c r="I243">
        <v>61</v>
      </c>
      <c r="J243">
        <v>162</v>
      </c>
      <c r="K243">
        <v>0.377</v>
      </c>
      <c r="L243">
        <v>14</v>
      </c>
      <c r="M243">
        <v>47</v>
      </c>
      <c r="N243">
        <v>0.29799999999999999</v>
      </c>
      <c r="O243">
        <v>47</v>
      </c>
      <c r="P243">
        <v>115</v>
      </c>
      <c r="Q243">
        <v>0.40899999999999997</v>
      </c>
      <c r="R243">
        <v>0.42</v>
      </c>
      <c r="S243">
        <v>10</v>
      </c>
      <c r="T243">
        <v>12</v>
      </c>
      <c r="U243">
        <v>0.83299999999999996</v>
      </c>
      <c r="V243">
        <v>7</v>
      </c>
      <c r="W243">
        <v>24</v>
      </c>
      <c r="X243">
        <v>31</v>
      </c>
      <c r="Y243">
        <v>39</v>
      </c>
      <c r="Z243">
        <v>12</v>
      </c>
      <c r="AA243">
        <v>0</v>
      </c>
      <c r="AB243">
        <v>14</v>
      </c>
      <c r="AC243">
        <v>26</v>
      </c>
      <c r="AD243">
        <v>146</v>
      </c>
    </row>
    <row r="244" spans="1:30" x14ac:dyDescent="0.3">
      <c r="A244">
        <v>187</v>
      </c>
      <c r="B244" t="s">
        <v>2179</v>
      </c>
      <c r="C244" t="s">
        <v>1961</v>
      </c>
      <c r="D244">
        <v>29</v>
      </c>
      <c r="E244" t="s">
        <v>2017</v>
      </c>
      <c r="F244">
        <v>74</v>
      </c>
      <c r="G244">
        <v>4</v>
      </c>
      <c r="H244">
        <v>1446</v>
      </c>
      <c r="I244">
        <v>324</v>
      </c>
      <c r="J244">
        <v>778</v>
      </c>
      <c r="K244">
        <v>0.41599999999999998</v>
      </c>
      <c r="L244">
        <v>137</v>
      </c>
      <c r="M244">
        <v>387</v>
      </c>
      <c r="N244">
        <v>0.35399999999999998</v>
      </c>
      <c r="O244">
        <v>187</v>
      </c>
      <c r="P244">
        <v>391</v>
      </c>
      <c r="Q244">
        <v>0.47799999999999998</v>
      </c>
      <c r="R244">
        <v>0.504</v>
      </c>
      <c r="S244">
        <v>99</v>
      </c>
      <c r="T244">
        <v>120</v>
      </c>
      <c r="U244">
        <v>0.82499999999999996</v>
      </c>
      <c r="V244">
        <v>33</v>
      </c>
      <c r="W244">
        <v>153</v>
      </c>
      <c r="X244">
        <v>186</v>
      </c>
      <c r="Y244">
        <v>91</v>
      </c>
      <c r="Z244">
        <v>42</v>
      </c>
      <c r="AA244">
        <v>12</v>
      </c>
      <c r="AB244">
        <v>104</v>
      </c>
      <c r="AC244">
        <v>145</v>
      </c>
      <c r="AD244">
        <v>884</v>
      </c>
    </row>
    <row r="245" spans="1:30" x14ac:dyDescent="0.3">
      <c r="A245">
        <v>188</v>
      </c>
      <c r="B245" t="s">
        <v>2180</v>
      </c>
      <c r="C245" t="s">
        <v>1956</v>
      </c>
      <c r="D245">
        <v>24</v>
      </c>
      <c r="E245" t="s">
        <v>1968</v>
      </c>
      <c r="F245">
        <v>24</v>
      </c>
      <c r="G245">
        <v>1</v>
      </c>
      <c r="H245">
        <v>164</v>
      </c>
      <c r="I245">
        <v>27</v>
      </c>
      <c r="J245">
        <v>47</v>
      </c>
      <c r="K245">
        <v>0.57399999999999995</v>
      </c>
      <c r="L245">
        <v>0</v>
      </c>
      <c r="M245">
        <v>6</v>
      </c>
      <c r="N245">
        <v>0</v>
      </c>
      <c r="O245">
        <v>27</v>
      </c>
      <c r="P245">
        <v>41</v>
      </c>
      <c r="Q245">
        <v>0.65900000000000003</v>
      </c>
      <c r="R245">
        <v>0.57399999999999995</v>
      </c>
      <c r="S245">
        <v>8</v>
      </c>
      <c r="T245">
        <v>10</v>
      </c>
      <c r="U245">
        <v>0.8</v>
      </c>
      <c r="V245">
        <v>19</v>
      </c>
      <c r="W245">
        <v>26</v>
      </c>
      <c r="X245">
        <v>45</v>
      </c>
      <c r="Y245">
        <v>4</v>
      </c>
      <c r="Z245">
        <v>5</v>
      </c>
      <c r="AA245">
        <v>5</v>
      </c>
      <c r="AB245">
        <v>14</v>
      </c>
      <c r="AC245">
        <v>25</v>
      </c>
      <c r="AD245">
        <v>62</v>
      </c>
    </row>
    <row r="246" spans="1:30" x14ac:dyDescent="0.3">
      <c r="A246">
        <v>188</v>
      </c>
      <c r="B246" t="s">
        <v>2180</v>
      </c>
      <c r="C246" t="s">
        <v>1956</v>
      </c>
      <c r="D246">
        <v>24</v>
      </c>
      <c r="E246" t="s">
        <v>1990</v>
      </c>
      <c r="F246">
        <v>4</v>
      </c>
      <c r="G246">
        <v>0</v>
      </c>
      <c r="H246">
        <v>25</v>
      </c>
      <c r="I246">
        <v>4</v>
      </c>
      <c r="J246">
        <v>7</v>
      </c>
      <c r="K246">
        <v>0.57099999999999995</v>
      </c>
      <c r="L246">
        <v>0</v>
      </c>
      <c r="M246">
        <v>2</v>
      </c>
      <c r="N246">
        <v>0</v>
      </c>
      <c r="O246">
        <v>4</v>
      </c>
      <c r="P246">
        <v>5</v>
      </c>
      <c r="Q246">
        <v>0.8</v>
      </c>
      <c r="R246">
        <v>0.57099999999999995</v>
      </c>
      <c r="S246">
        <v>0</v>
      </c>
      <c r="T246">
        <v>0</v>
      </c>
      <c r="V246">
        <v>3</v>
      </c>
      <c r="W246">
        <v>3</v>
      </c>
      <c r="X246">
        <v>6</v>
      </c>
      <c r="Y246">
        <v>0</v>
      </c>
      <c r="Z246">
        <v>0</v>
      </c>
      <c r="AA246">
        <v>2</v>
      </c>
      <c r="AB246">
        <v>2</v>
      </c>
      <c r="AC246">
        <v>6</v>
      </c>
      <c r="AD246">
        <v>8</v>
      </c>
    </row>
    <row r="247" spans="1:30" x14ac:dyDescent="0.3">
      <c r="A247">
        <v>188</v>
      </c>
      <c r="B247" t="s">
        <v>2180</v>
      </c>
      <c r="C247" t="s">
        <v>1956</v>
      </c>
      <c r="D247">
        <v>24</v>
      </c>
      <c r="E247" t="s">
        <v>1962</v>
      </c>
      <c r="F247">
        <v>20</v>
      </c>
      <c r="G247">
        <v>1</v>
      </c>
      <c r="H247">
        <v>139</v>
      </c>
      <c r="I247">
        <v>23</v>
      </c>
      <c r="J247">
        <v>40</v>
      </c>
      <c r="K247">
        <v>0.57499999999999996</v>
      </c>
      <c r="L247">
        <v>0</v>
      </c>
      <c r="M247">
        <v>4</v>
      </c>
      <c r="N247">
        <v>0</v>
      </c>
      <c r="O247">
        <v>23</v>
      </c>
      <c r="P247">
        <v>36</v>
      </c>
      <c r="Q247">
        <v>0.63900000000000001</v>
      </c>
      <c r="R247">
        <v>0.57499999999999996</v>
      </c>
      <c r="S247">
        <v>8</v>
      </c>
      <c r="T247">
        <v>10</v>
      </c>
      <c r="U247">
        <v>0.8</v>
      </c>
      <c r="V247">
        <v>16</v>
      </c>
      <c r="W247">
        <v>23</v>
      </c>
      <c r="X247">
        <v>39</v>
      </c>
      <c r="Y247">
        <v>4</v>
      </c>
      <c r="Z247">
        <v>5</v>
      </c>
      <c r="AA247">
        <v>3</v>
      </c>
      <c r="AB247">
        <v>12</v>
      </c>
      <c r="AC247">
        <v>19</v>
      </c>
      <c r="AD247">
        <v>54</v>
      </c>
    </row>
    <row r="248" spans="1:30" x14ac:dyDescent="0.3">
      <c r="A248">
        <v>189</v>
      </c>
      <c r="B248" t="s">
        <v>2181</v>
      </c>
      <c r="C248" t="s">
        <v>1981</v>
      </c>
      <c r="D248">
        <v>28</v>
      </c>
      <c r="E248" t="s">
        <v>1968</v>
      </c>
      <c r="F248">
        <v>78</v>
      </c>
      <c r="G248">
        <v>70</v>
      </c>
      <c r="H248">
        <v>2454</v>
      </c>
      <c r="I248">
        <v>416</v>
      </c>
      <c r="J248">
        <v>967</v>
      </c>
      <c r="K248">
        <v>0.43</v>
      </c>
      <c r="L248">
        <v>97</v>
      </c>
      <c r="M248">
        <v>292</v>
      </c>
      <c r="N248">
        <v>0.33200000000000002</v>
      </c>
      <c r="O248">
        <v>319</v>
      </c>
      <c r="P248">
        <v>675</v>
      </c>
      <c r="Q248">
        <v>0.47299999999999998</v>
      </c>
      <c r="R248">
        <v>0.48</v>
      </c>
      <c r="S248">
        <v>239</v>
      </c>
      <c r="T248">
        <v>287</v>
      </c>
      <c r="U248">
        <v>0.83299999999999996</v>
      </c>
      <c r="V248">
        <v>64</v>
      </c>
      <c r="W248">
        <v>264</v>
      </c>
      <c r="X248">
        <v>328</v>
      </c>
      <c r="Y248">
        <v>134</v>
      </c>
      <c r="Z248">
        <v>53</v>
      </c>
      <c r="AA248">
        <v>34</v>
      </c>
      <c r="AB248">
        <v>108</v>
      </c>
      <c r="AC248">
        <v>147</v>
      </c>
      <c r="AD248">
        <v>1168</v>
      </c>
    </row>
    <row r="249" spans="1:30" x14ac:dyDescent="0.3">
      <c r="A249">
        <v>189</v>
      </c>
      <c r="B249" t="s">
        <v>2181</v>
      </c>
      <c r="C249" t="s">
        <v>1981</v>
      </c>
      <c r="D249">
        <v>28</v>
      </c>
      <c r="E249" t="s">
        <v>2020</v>
      </c>
      <c r="F249">
        <v>33</v>
      </c>
      <c r="G249">
        <v>33</v>
      </c>
      <c r="H249">
        <v>1093</v>
      </c>
      <c r="I249">
        <v>206</v>
      </c>
      <c r="J249">
        <v>475</v>
      </c>
      <c r="K249">
        <v>0.434</v>
      </c>
      <c r="L249">
        <v>47</v>
      </c>
      <c r="M249">
        <v>154</v>
      </c>
      <c r="N249">
        <v>0.30499999999999999</v>
      </c>
      <c r="O249">
        <v>159</v>
      </c>
      <c r="P249">
        <v>321</v>
      </c>
      <c r="Q249">
        <v>0.495</v>
      </c>
      <c r="R249">
        <v>0.48299999999999998</v>
      </c>
      <c r="S249">
        <v>121</v>
      </c>
      <c r="T249">
        <v>144</v>
      </c>
      <c r="U249">
        <v>0.84</v>
      </c>
      <c r="V249">
        <v>21</v>
      </c>
      <c r="W249">
        <v>120</v>
      </c>
      <c r="X249">
        <v>141</v>
      </c>
      <c r="Y249">
        <v>53</v>
      </c>
      <c r="Z249">
        <v>27</v>
      </c>
      <c r="AA249">
        <v>13</v>
      </c>
      <c r="AB249">
        <v>56</v>
      </c>
      <c r="AC249">
        <v>66</v>
      </c>
      <c r="AD249">
        <v>580</v>
      </c>
    </row>
    <row r="250" spans="1:30" x14ac:dyDescent="0.3">
      <c r="A250">
        <v>189</v>
      </c>
      <c r="B250" t="s">
        <v>2181</v>
      </c>
      <c r="C250" t="s">
        <v>1981</v>
      </c>
      <c r="D250">
        <v>28</v>
      </c>
      <c r="E250" t="s">
        <v>1962</v>
      </c>
      <c r="F250">
        <v>45</v>
      </c>
      <c r="G250">
        <v>37</v>
      </c>
      <c r="H250">
        <v>1361</v>
      </c>
      <c r="I250">
        <v>210</v>
      </c>
      <c r="J250">
        <v>492</v>
      </c>
      <c r="K250">
        <v>0.42699999999999999</v>
      </c>
      <c r="L250">
        <v>50</v>
      </c>
      <c r="M250">
        <v>138</v>
      </c>
      <c r="N250">
        <v>0.36199999999999999</v>
      </c>
      <c r="O250">
        <v>160</v>
      </c>
      <c r="P250">
        <v>354</v>
      </c>
      <c r="Q250">
        <v>0.45200000000000001</v>
      </c>
      <c r="R250">
        <v>0.47799999999999998</v>
      </c>
      <c r="S250">
        <v>118</v>
      </c>
      <c r="T250">
        <v>143</v>
      </c>
      <c r="U250">
        <v>0.82499999999999996</v>
      </c>
      <c r="V250">
        <v>43</v>
      </c>
      <c r="W250">
        <v>144</v>
      </c>
      <c r="X250">
        <v>187</v>
      </c>
      <c r="Y250">
        <v>81</v>
      </c>
      <c r="Z250">
        <v>26</v>
      </c>
      <c r="AA250">
        <v>21</v>
      </c>
      <c r="AB250">
        <v>52</v>
      </c>
      <c r="AC250">
        <v>81</v>
      </c>
      <c r="AD250">
        <v>588</v>
      </c>
    </row>
    <row r="251" spans="1:30" x14ac:dyDescent="0.3">
      <c r="A251">
        <v>190</v>
      </c>
      <c r="B251" t="s">
        <v>2182</v>
      </c>
      <c r="C251" t="s">
        <v>1961</v>
      </c>
      <c r="D251">
        <v>33</v>
      </c>
      <c r="E251" t="s">
        <v>2113</v>
      </c>
      <c r="F251">
        <v>52</v>
      </c>
      <c r="G251">
        <v>2</v>
      </c>
      <c r="H251">
        <v>951</v>
      </c>
      <c r="I251">
        <v>118</v>
      </c>
      <c r="J251">
        <v>306</v>
      </c>
      <c r="K251">
        <v>0.38600000000000001</v>
      </c>
      <c r="L251">
        <v>42</v>
      </c>
      <c r="M251">
        <v>121</v>
      </c>
      <c r="N251">
        <v>0.34699999999999998</v>
      </c>
      <c r="O251">
        <v>76</v>
      </c>
      <c r="P251">
        <v>185</v>
      </c>
      <c r="Q251">
        <v>0.41099999999999998</v>
      </c>
      <c r="R251">
        <v>0.45400000000000001</v>
      </c>
      <c r="S251">
        <v>28</v>
      </c>
      <c r="T251">
        <v>34</v>
      </c>
      <c r="U251">
        <v>0.82399999999999995</v>
      </c>
      <c r="V251">
        <v>14</v>
      </c>
      <c r="W251">
        <v>65</v>
      </c>
      <c r="X251">
        <v>79</v>
      </c>
      <c r="Y251">
        <v>68</v>
      </c>
      <c r="Z251">
        <v>26</v>
      </c>
      <c r="AA251">
        <v>5</v>
      </c>
      <c r="AB251">
        <v>48</v>
      </c>
      <c r="AC251">
        <v>81</v>
      </c>
      <c r="AD251">
        <v>306</v>
      </c>
    </row>
    <row r="252" spans="1:30" x14ac:dyDescent="0.3">
      <c r="A252">
        <v>191</v>
      </c>
      <c r="B252" t="s">
        <v>2183</v>
      </c>
      <c r="C252" t="s">
        <v>1956</v>
      </c>
      <c r="D252">
        <v>25</v>
      </c>
      <c r="E252" t="s">
        <v>2015</v>
      </c>
      <c r="F252">
        <v>67</v>
      </c>
      <c r="G252">
        <v>67</v>
      </c>
      <c r="H252">
        <v>2356</v>
      </c>
      <c r="I252">
        <v>574</v>
      </c>
      <c r="J252">
        <v>1144</v>
      </c>
      <c r="K252">
        <v>0.502</v>
      </c>
      <c r="L252">
        <v>10</v>
      </c>
      <c r="M252">
        <v>25</v>
      </c>
      <c r="N252">
        <v>0.4</v>
      </c>
      <c r="O252">
        <v>564</v>
      </c>
      <c r="P252">
        <v>1119</v>
      </c>
      <c r="Q252">
        <v>0.504</v>
      </c>
      <c r="R252">
        <v>0.50600000000000001</v>
      </c>
      <c r="S252">
        <v>311</v>
      </c>
      <c r="T252">
        <v>427</v>
      </c>
      <c r="U252">
        <v>0.72799999999999998</v>
      </c>
      <c r="V252">
        <v>126</v>
      </c>
      <c r="W252">
        <v>382</v>
      </c>
      <c r="X252">
        <v>508</v>
      </c>
      <c r="Y252">
        <v>354</v>
      </c>
      <c r="Z252">
        <v>63</v>
      </c>
      <c r="AA252">
        <v>35</v>
      </c>
      <c r="AB252">
        <v>152</v>
      </c>
      <c r="AC252">
        <v>196</v>
      </c>
      <c r="AD252">
        <v>1469</v>
      </c>
    </row>
    <row r="253" spans="1:30" x14ac:dyDescent="0.3">
      <c r="A253">
        <v>192</v>
      </c>
      <c r="B253" t="s">
        <v>2184</v>
      </c>
      <c r="C253" t="s">
        <v>2004</v>
      </c>
      <c r="D253">
        <v>26</v>
      </c>
      <c r="E253" t="s">
        <v>1968</v>
      </c>
      <c r="F253">
        <v>20</v>
      </c>
      <c r="G253">
        <v>1</v>
      </c>
      <c r="H253">
        <v>175</v>
      </c>
      <c r="I253">
        <v>22</v>
      </c>
      <c r="J253">
        <v>41</v>
      </c>
      <c r="K253">
        <v>0.53700000000000003</v>
      </c>
      <c r="L253">
        <v>0</v>
      </c>
      <c r="M253">
        <v>3</v>
      </c>
      <c r="N253">
        <v>0</v>
      </c>
      <c r="O253">
        <v>22</v>
      </c>
      <c r="P253">
        <v>38</v>
      </c>
      <c r="Q253">
        <v>0.57899999999999996</v>
      </c>
      <c r="R253">
        <v>0.53700000000000003</v>
      </c>
      <c r="S253">
        <v>9</v>
      </c>
      <c r="T253">
        <v>13</v>
      </c>
      <c r="U253">
        <v>0.69199999999999995</v>
      </c>
      <c r="V253">
        <v>5</v>
      </c>
      <c r="W253">
        <v>20</v>
      </c>
      <c r="X253">
        <v>25</v>
      </c>
      <c r="Y253">
        <v>22</v>
      </c>
      <c r="Z253">
        <v>6</v>
      </c>
      <c r="AA253">
        <v>0</v>
      </c>
      <c r="AB253">
        <v>12</v>
      </c>
      <c r="AC253">
        <v>25</v>
      </c>
      <c r="AD253">
        <v>53</v>
      </c>
    </row>
    <row r="254" spans="1:30" x14ac:dyDescent="0.3">
      <c r="A254">
        <v>192</v>
      </c>
      <c r="B254" t="s">
        <v>2184</v>
      </c>
      <c r="C254" t="s">
        <v>2004</v>
      </c>
      <c r="D254">
        <v>26</v>
      </c>
      <c r="E254" t="s">
        <v>1988</v>
      </c>
      <c r="F254">
        <v>10</v>
      </c>
      <c r="G254">
        <v>0</v>
      </c>
      <c r="H254">
        <v>44</v>
      </c>
      <c r="I254">
        <v>7</v>
      </c>
      <c r="J254">
        <v>14</v>
      </c>
      <c r="K254">
        <v>0.5</v>
      </c>
      <c r="L254">
        <v>0</v>
      </c>
      <c r="M254">
        <v>1</v>
      </c>
      <c r="N254">
        <v>0</v>
      </c>
      <c r="O254">
        <v>7</v>
      </c>
      <c r="P254">
        <v>13</v>
      </c>
      <c r="Q254">
        <v>0.53800000000000003</v>
      </c>
      <c r="R254">
        <v>0.5</v>
      </c>
      <c r="S254">
        <v>2</v>
      </c>
      <c r="T254">
        <v>3</v>
      </c>
      <c r="U254">
        <v>0.66700000000000004</v>
      </c>
      <c r="V254">
        <v>0</v>
      </c>
      <c r="W254">
        <v>7</v>
      </c>
      <c r="X254">
        <v>7</v>
      </c>
      <c r="Y254">
        <v>7</v>
      </c>
      <c r="Z254">
        <v>1</v>
      </c>
      <c r="AA254">
        <v>0</v>
      </c>
      <c r="AB254">
        <v>3</v>
      </c>
      <c r="AC254">
        <v>9</v>
      </c>
      <c r="AD254">
        <v>16</v>
      </c>
    </row>
    <row r="255" spans="1:30" x14ac:dyDescent="0.3">
      <c r="A255">
        <v>192</v>
      </c>
      <c r="B255" t="s">
        <v>2184</v>
      </c>
      <c r="C255" t="s">
        <v>2004</v>
      </c>
      <c r="D255">
        <v>26</v>
      </c>
      <c r="E255" t="s">
        <v>1993</v>
      </c>
      <c r="F255">
        <v>10</v>
      </c>
      <c r="G255">
        <v>1</v>
      </c>
      <c r="H255">
        <v>131</v>
      </c>
      <c r="I255">
        <v>15</v>
      </c>
      <c r="J255">
        <v>27</v>
      </c>
      <c r="K255">
        <v>0.55600000000000005</v>
      </c>
      <c r="L255">
        <v>0</v>
      </c>
      <c r="M255">
        <v>2</v>
      </c>
      <c r="N255">
        <v>0</v>
      </c>
      <c r="O255">
        <v>15</v>
      </c>
      <c r="P255">
        <v>25</v>
      </c>
      <c r="Q255">
        <v>0.6</v>
      </c>
      <c r="R255">
        <v>0.55600000000000005</v>
      </c>
      <c r="S255">
        <v>7</v>
      </c>
      <c r="T255">
        <v>10</v>
      </c>
      <c r="U255">
        <v>0.7</v>
      </c>
      <c r="V255">
        <v>5</v>
      </c>
      <c r="W255">
        <v>13</v>
      </c>
      <c r="X255">
        <v>18</v>
      </c>
      <c r="Y255">
        <v>15</v>
      </c>
      <c r="Z255">
        <v>5</v>
      </c>
      <c r="AA255">
        <v>0</v>
      </c>
      <c r="AB255">
        <v>9</v>
      </c>
      <c r="AC255">
        <v>16</v>
      </c>
      <c r="AD255">
        <v>37</v>
      </c>
    </row>
    <row r="256" spans="1:30" x14ac:dyDescent="0.3">
      <c r="A256">
        <v>193</v>
      </c>
      <c r="B256" t="s">
        <v>2185</v>
      </c>
      <c r="C256" t="s">
        <v>1961</v>
      </c>
      <c r="D256">
        <v>22</v>
      </c>
      <c r="E256" t="s">
        <v>2036</v>
      </c>
      <c r="F256">
        <v>45</v>
      </c>
      <c r="G256">
        <v>2</v>
      </c>
      <c r="H256">
        <v>687</v>
      </c>
      <c r="I256">
        <v>87</v>
      </c>
      <c r="J256">
        <v>269</v>
      </c>
      <c r="K256">
        <v>0.32300000000000001</v>
      </c>
      <c r="L256">
        <v>49</v>
      </c>
      <c r="M256">
        <v>163</v>
      </c>
      <c r="N256">
        <v>0.30099999999999999</v>
      </c>
      <c r="O256">
        <v>38</v>
      </c>
      <c r="P256">
        <v>106</v>
      </c>
      <c r="Q256">
        <v>0.35799999999999998</v>
      </c>
      <c r="R256">
        <v>0.41399999999999998</v>
      </c>
      <c r="S256">
        <v>31</v>
      </c>
      <c r="T256">
        <v>36</v>
      </c>
      <c r="U256">
        <v>0.86099999999999999</v>
      </c>
      <c r="V256">
        <v>22</v>
      </c>
      <c r="W256">
        <v>70</v>
      </c>
      <c r="X256">
        <v>92</v>
      </c>
      <c r="Y256">
        <v>21</v>
      </c>
      <c r="Z256">
        <v>21</v>
      </c>
      <c r="AA256">
        <v>13</v>
      </c>
      <c r="AB256">
        <v>22</v>
      </c>
      <c r="AC256">
        <v>61</v>
      </c>
      <c r="AD256">
        <v>254</v>
      </c>
    </row>
    <row r="257" spans="1:30" x14ac:dyDescent="0.3">
      <c r="A257">
        <v>194</v>
      </c>
      <c r="B257" t="s">
        <v>2186</v>
      </c>
      <c r="C257" t="s">
        <v>1981</v>
      </c>
      <c r="D257">
        <v>24</v>
      </c>
      <c r="E257" t="s">
        <v>2015</v>
      </c>
      <c r="F257">
        <v>14</v>
      </c>
      <c r="G257">
        <v>2</v>
      </c>
      <c r="H257">
        <v>122</v>
      </c>
      <c r="I257">
        <v>14</v>
      </c>
      <c r="J257">
        <v>35</v>
      </c>
      <c r="K257">
        <v>0.4</v>
      </c>
      <c r="L257">
        <v>10</v>
      </c>
      <c r="M257">
        <v>21</v>
      </c>
      <c r="N257">
        <v>0.47599999999999998</v>
      </c>
      <c r="O257">
        <v>4</v>
      </c>
      <c r="P257">
        <v>14</v>
      </c>
      <c r="Q257">
        <v>0.28599999999999998</v>
      </c>
      <c r="R257">
        <v>0.54300000000000004</v>
      </c>
      <c r="S257">
        <v>0</v>
      </c>
      <c r="T257">
        <v>0</v>
      </c>
      <c r="V257">
        <v>2</v>
      </c>
      <c r="W257">
        <v>14</v>
      </c>
      <c r="X257">
        <v>16</v>
      </c>
      <c r="Y257">
        <v>7</v>
      </c>
      <c r="Z257">
        <v>2</v>
      </c>
      <c r="AA257">
        <v>0</v>
      </c>
      <c r="AB257">
        <v>4</v>
      </c>
      <c r="AC257">
        <v>14</v>
      </c>
      <c r="AD257">
        <v>38</v>
      </c>
    </row>
    <row r="258" spans="1:30" x14ac:dyDescent="0.3">
      <c r="A258">
        <v>195</v>
      </c>
      <c r="B258" t="s">
        <v>2187</v>
      </c>
      <c r="C258" t="s">
        <v>213</v>
      </c>
      <c r="D258">
        <v>24</v>
      </c>
      <c r="E258" t="s">
        <v>1968</v>
      </c>
      <c r="F258">
        <v>41</v>
      </c>
      <c r="G258">
        <v>14</v>
      </c>
      <c r="H258">
        <v>712</v>
      </c>
      <c r="I258">
        <v>85</v>
      </c>
      <c r="J258">
        <v>178</v>
      </c>
      <c r="K258">
        <v>0.47799999999999998</v>
      </c>
      <c r="L258">
        <v>10</v>
      </c>
      <c r="M258">
        <v>31</v>
      </c>
      <c r="N258">
        <v>0.32300000000000001</v>
      </c>
      <c r="O258">
        <v>75</v>
      </c>
      <c r="P258">
        <v>147</v>
      </c>
      <c r="Q258">
        <v>0.51</v>
      </c>
      <c r="R258">
        <v>0.50600000000000001</v>
      </c>
      <c r="S258">
        <v>39</v>
      </c>
      <c r="T258">
        <v>47</v>
      </c>
      <c r="U258">
        <v>0.83</v>
      </c>
      <c r="V258">
        <v>57</v>
      </c>
      <c r="W258">
        <v>77</v>
      </c>
      <c r="X258">
        <v>134</v>
      </c>
      <c r="Y258">
        <v>36</v>
      </c>
      <c r="Z258">
        <v>27</v>
      </c>
      <c r="AA258">
        <v>30</v>
      </c>
      <c r="AB258">
        <v>26</v>
      </c>
      <c r="AC258">
        <v>70</v>
      </c>
      <c r="AD258">
        <v>219</v>
      </c>
    </row>
    <row r="259" spans="1:30" x14ac:dyDescent="0.3">
      <c r="A259">
        <v>195</v>
      </c>
      <c r="B259" t="s">
        <v>2187</v>
      </c>
      <c r="C259" t="s">
        <v>213</v>
      </c>
      <c r="D259">
        <v>24</v>
      </c>
      <c r="E259" t="s">
        <v>1986</v>
      </c>
      <c r="F259">
        <v>24</v>
      </c>
      <c r="G259">
        <v>5</v>
      </c>
      <c r="H259">
        <v>289</v>
      </c>
      <c r="I259">
        <v>27</v>
      </c>
      <c r="J259">
        <v>65</v>
      </c>
      <c r="K259">
        <v>0.41499999999999998</v>
      </c>
      <c r="L259">
        <v>6</v>
      </c>
      <c r="M259">
        <v>19</v>
      </c>
      <c r="N259">
        <v>0.316</v>
      </c>
      <c r="O259">
        <v>21</v>
      </c>
      <c r="P259">
        <v>46</v>
      </c>
      <c r="Q259">
        <v>0.45700000000000002</v>
      </c>
      <c r="R259">
        <v>0.46200000000000002</v>
      </c>
      <c r="S259">
        <v>6</v>
      </c>
      <c r="T259">
        <v>7</v>
      </c>
      <c r="U259">
        <v>0.85699999999999998</v>
      </c>
      <c r="V259">
        <v>24</v>
      </c>
      <c r="W259">
        <v>24</v>
      </c>
      <c r="X259">
        <v>48</v>
      </c>
      <c r="Y259">
        <v>12</v>
      </c>
      <c r="Z259">
        <v>8</v>
      </c>
      <c r="AA259">
        <v>5</v>
      </c>
      <c r="AB259">
        <v>8</v>
      </c>
      <c r="AC259">
        <v>33</v>
      </c>
      <c r="AD259">
        <v>66</v>
      </c>
    </row>
    <row r="260" spans="1:30" x14ac:dyDescent="0.3">
      <c r="A260">
        <v>195</v>
      </c>
      <c r="B260" t="s">
        <v>2187</v>
      </c>
      <c r="C260" t="s">
        <v>213</v>
      </c>
      <c r="D260">
        <v>24</v>
      </c>
      <c r="E260" t="s">
        <v>1966</v>
      </c>
      <c r="F260">
        <v>17</v>
      </c>
      <c r="G260">
        <v>9</v>
      </c>
      <c r="H260">
        <v>423</v>
      </c>
      <c r="I260">
        <v>58</v>
      </c>
      <c r="J260">
        <v>113</v>
      </c>
      <c r="K260">
        <v>0.51300000000000001</v>
      </c>
      <c r="L260">
        <v>4</v>
      </c>
      <c r="M260">
        <v>12</v>
      </c>
      <c r="N260">
        <v>0.33300000000000002</v>
      </c>
      <c r="O260">
        <v>54</v>
      </c>
      <c r="P260">
        <v>101</v>
      </c>
      <c r="Q260">
        <v>0.53500000000000003</v>
      </c>
      <c r="R260">
        <v>0.53100000000000003</v>
      </c>
      <c r="S260">
        <v>33</v>
      </c>
      <c r="T260">
        <v>40</v>
      </c>
      <c r="U260">
        <v>0.82499999999999996</v>
      </c>
      <c r="V260">
        <v>33</v>
      </c>
      <c r="W260">
        <v>53</v>
      </c>
      <c r="X260">
        <v>86</v>
      </c>
      <c r="Y260">
        <v>24</v>
      </c>
      <c r="Z260">
        <v>19</v>
      </c>
      <c r="AA260">
        <v>25</v>
      </c>
      <c r="AB260">
        <v>18</v>
      </c>
      <c r="AC260">
        <v>37</v>
      </c>
      <c r="AD260">
        <v>153</v>
      </c>
    </row>
    <row r="261" spans="1:30" x14ac:dyDescent="0.3">
      <c r="A261">
        <v>196</v>
      </c>
      <c r="B261" t="s">
        <v>2188</v>
      </c>
      <c r="C261" t="s">
        <v>1956</v>
      </c>
      <c r="D261">
        <v>29</v>
      </c>
      <c r="E261" t="s">
        <v>2068</v>
      </c>
      <c r="F261">
        <v>74</v>
      </c>
      <c r="G261">
        <v>8</v>
      </c>
      <c r="H261">
        <v>1058</v>
      </c>
      <c r="I261">
        <v>86</v>
      </c>
      <c r="J261">
        <v>165</v>
      </c>
      <c r="K261">
        <v>0.52100000000000002</v>
      </c>
      <c r="L261">
        <v>1</v>
      </c>
      <c r="M261">
        <v>7</v>
      </c>
      <c r="N261">
        <v>0.14299999999999999</v>
      </c>
      <c r="O261">
        <v>85</v>
      </c>
      <c r="P261">
        <v>158</v>
      </c>
      <c r="Q261">
        <v>0.53800000000000003</v>
      </c>
      <c r="R261">
        <v>0.52400000000000002</v>
      </c>
      <c r="S261">
        <v>97</v>
      </c>
      <c r="T261">
        <v>139</v>
      </c>
      <c r="U261">
        <v>0.69799999999999995</v>
      </c>
      <c r="V261">
        <v>106</v>
      </c>
      <c r="W261">
        <v>159</v>
      </c>
      <c r="X261">
        <v>265</v>
      </c>
      <c r="Y261">
        <v>21</v>
      </c>
      <c r="Z261">
        <v>30</v>
      </c>
      <c r="AA261">
        <v>15</v>
      </c>
      <c r="AB261">
        <v>20</v>
      </c>
      <c r="AC261">
        <v>141</v>
      </c>
      <c r="AD261">
        <v>270</v>
      </c>
    </row>
    <row r="262" spans="1:30" x14ac:dyDescent="0.3">
      <c r="A262">
        <v>197</v>
      </c>
      <c r="B262" t="s">
        <v>2189</v>
      </c>
      <c r="C262" t="s">
        <v>1961</v>
      </c>
      <c r="D262">
        <v>22</v>
      </c>
      <c r="E262" t="s">
        <v>1959</v>
      </c>
      <c r="F262">
        <v>70</v>
      </c>
      <c r="G262">
        <v>30</v>
      </c>
      <c r="H262">
        <v>1681</v>
      </c>
      <c r="I262">
        <v>279</v>
      </c>
      <c r="J262">
        <v>717</v>
      </c>
      <c r="K262">
        <v>0.38900000000000001</v>
      </c>
      <c r="L262">
        <v>121</v>
      </c>
      <c r="M262">
        <v>354</v>
      </c>
      <c r="N262">
        <v>0.34200000000000003</v>
      </c>
      <c r="O262">
        <v>158</v>
      </c>
      <c r="P262">
        <v>363</v>
      </c>
      <c r="Q262">
        <v>0.435</v>
      </c>
      <c r="R262">
        <v>0.47399999999999998</v>
      </c>
      <c r="S262">
        <v>125</v>
      </c>
      <c r="T262">
        <v>156</v>
      </c>
      <c r="U262">
        <v>0.80100000000000005</v>
      </c>
      <c r="V262">
        <v>12</v>
      </c>
      <c r="W262">
        <v>144</v>
      </c>
      <c r="X262">
        <v>156</v>
      </c>
      <c r="Y262">
        <v>127</v>
      </c>
      <c r="Z262">
        <v>20</v>
      </c>
      <c r="AA262">
        <v>14</v>
      </c>
      <c r="AB262">
        <v>82</v>
      </c>
      <c r="AC262">
        <v>119</v>
      </c>
      <c r="AD262">
        <v>804</v>
      </c>
    </row>
    <row r="263" spans="1:30" x14ac:dyDescent="0.3">
      <c r="A263">
        <v>198</v>
      </c>
      <c r="B263" t="s">
        <v>2190</v>
      </c>
      <c r="C263" t="s">
        <v>1961</v>
      </c>
      <c r="D263">
        <v>25</v>
      </c>
      <c r="E263" t="s">
        <v>2000</v>
      </c>
      <c r="F263">
        <v>81</v>
      </c>
      <c r="G263">
        <v>81</v>
      </c>
      <c r="H263">
        <v>2981</v>
      </c>
      <c r="I263">
        <v>647</v>
      </c>
      <c r="J263">
        <v>1470</v>
      </c>
      <c r="K263">
        <v>0.44</v>
      </c>
      <c r="L263">
        <v>208</v>
      </c>
      <c r="M263">
        <v>555</v>
      </c>
      <c r="N263">
        <v>0.375</v>
      </c>
      <c r="O263">
        <v>439</v>
      </c>
      <c r="P263">
        <v>915</v>
      </c>
      <c r="Q263">
        <v>0.48</v>
      </c>
      <c r="R263">
        <v>0.51100000000000001</v>
      </c>
      <c r="S263">
        <v>715</v>
      </c>
      <c r="T263">
        <v>824</v>
      </c>
      <c r="U263">
        <v>0.86799999999999999</v>
      </c>
      <c r="V263">
        <v>75</v>
      </c>
      <c r="W263">
        <v>384</v>
      </c>
      <c r="X263">
        <v>459</v>
      </c>
      <c r="Y263">
        <v>565</v>
      </c>
      <c r="Z263">
        <v>154</v>
      </c>
      <c r="AA263">
        <v>60</v>
      </c>
      <c r="AB263">
        <v>321</v>
      </c>
      <c r="AC263">
        <v>208</v>
      </c>
      <c r="AD263">
        <v>2217</v>
      </c>
    </row>
    <row r="264" spans="1:30" x14ac:dyDescent="0.3">
      <c r="A264">
        <v>199</v>
      </c>
      <c r="B264" t="s">
        <v>2191</v>
      </c>
      <c r="C264" t="s">
        <v>1981</v>
      </c>
      <c r="D264">
        <v>21</v>
      </c>
      <c r="E264" t="s">
        <v>2113</v>
      </c>
      <c r="F264">
        <v>45</v>
      </c>
      <c r="G264">
        <v>4</v>
      </c>
      <c r="H264">
        <v>674</v>
      </c>
      <c r="I264">
        <v>63</v>
      </c>
      <c r="J264">
        <v>158</v>
      </c>
      <c r="K264">
        <v>0.39900000000000002</v>
      </c>
      <c r="L264">
        <v>10</v>
      </c>
      <c r="M264">
        <v>56</v>
      </c>
      <c r="N264">
        <v>0.17899999999999999</v>
      </c>
      <c r="O264">
        <v>53</v>
      </c>
      <c r="P264">
        <v>102</v>
      </c>
      <c r="Q264">
        <v>0.52</v>
      </c>
      <c r="R264">
        <v>0.43</v>
      </c>
      <c r="S264">
        <v>22</v>
      </c>
      <c r="T264">
        <v>41</v>
      </c>
      <c r="U264">
        <v>0.53700000000000003</v>
      </c>
      <c r="V264">
        <v>38</v>
      </c>
      <c r="W264">
        <v>68</v>
      </c>
      <c r="X264">
        <v>106</v>
      </c>
      <c r="Y264">
        <v>25</v>
      </c>
      <c r="Z264">
        <v>32</v>
      </c>
      <c r="AA264">
        <v>9</v>
      </c>
      <c r="AB264">
        <v>27</v>
      </c>
      <c r="AC264">
        <v>66</v>
      </c>
      <c r="AD264">
        <v>158</v>
      </c>
    </row>
    <row r="265" spans="1:30" x14ac:dyDescent="0.3">
      <c r="A265">
        <v>200</v>
      </c>
      <c r="B265" t="s">
        <v>2192</v>
      </c>
      <c r="C265" t="s">
        <v>2004</v>
      </c>
      <c r="D265">
        <v>31</v>
      </c>
      <c r="E265" t="s">
        <v>1982</v>
      </c>
      <c r="F265">
        <v>76</v>
      </c>
      <c r="G265">
        <v>3</v>
      </c>
      <c r="H265">
        <v>1685</v>
      </c>
      <c r="I265">
        <v>219</v>
      </c>
      <c r="J265">
        <v>524</v>
      </c>
      <c r="K265">
        <v>0.41799999999999998</v>
      </c>
      <c r="L265">
        <v>95</v>
      </c>
      <c r="M265">
        <v>266</v>
      </c>
      <c r="N265">
        <v>0.35699999999999998</v>
      </c>
      <c r="O265">
        <v>124</v>
      </c>
      <c r="P265">
        <v>258</v>
      </c>
      <c r="Q265">
        <v>0.48099999999999998</v>
      </c>
      <c r="R265">
        <v>0.50900000000000001</v>
      </c>
      <c r="S265">
        <v>132</v>
      </c>
      <c r="T265">
        <v>162</v>
      </c>
      <c r="U265">
        <v>0.81499999999999995</v>
      </c>
      <c r="V265">
        <v>13</v>
      </c>
      <c r="W265">
        <v>122</v>
      </c>
      <c r="X265">
        <v>135</v>
      </c>
      <c r="Y265">
        <v>237</v>
      </c>
      <c r="Z265">
        <v>78</v>
      </c>
      <c r="AA265">
        <v>14</v>
      </c>
      <c r="AB265">
        <v>85</v>
      </c>
      <c r="AC265">
        <v>147</v>
      </c>
      <c r="AD265">
        <v>665</v>
      </c>
    </row>
    <row r="266" spans="1:30" x14ac:dyDescent="0.3">
      <c r="A266" t="s">
        <v>1929</v>
      </c>
      <c r="B266" t="s">
        <v>1930</v>
      </c>
      <c r="C266" t="s">
        <v>1931</v>
      </c>
      <c r="D266" t="s">
        <v>198</v>
      </c>
      <c r="E266" t="s">
        <v>1932</v>
      </c>
      <c r="F266" t="s">
        <v>1933</v>
      </c>
      <c r="G266" t="s">
        <v>1934</v>
      </c>
      <c r="H266" t="s">
        <v>1935</v>
      </c>
      <c r="I266" t="s">
        <v>1936</v>
      </c>
      <c r="J266" t="s">
        <v>1937</v>
      </c>
      <c r="K266" t="s">
        <v>1938</v>
      </c>
      <c r="L266" t="s">
        <v>1939</v>
      </c>
      <c r="M266" t="s">
        <v>1940</v>
      </c>
      <c r="N266" t="s">
        <v>1941</v>
      </c>
      <c r="O266" t="s">
        <v>1942</v>
      </c>
      <c r="P266" t="s">
        <v>1943</v>
      </c>
      <c r="Q266" t="s">
        <v>1944</v>
      </c>
      <c r="R266" t="s">
        <v>1945</v>
      </c>
      <c r="S266" t="s">
        <v>1946</v>
      </c>
      <c r="T266" t="s">
        <v>1947</v>
      </c>
      <c r="U266" t="s">
        <v>1948</v>
      </c>
      <c r="V266" t="s">
        <v>1949</v>
      </c>
      <c r="W266" t="s">
        <v>1950</v>
      </c>
      <c r="X266" t="s">
        <v>1951</v>
      </c>
      <c r="Y266" t="s">
        <v>1952</v>
      </c>
      <c r="Z266" t="s">
        <v>1953</v>
      </c>
      <c r="AA266" t="s">
        <v>1954</v>
      </c>
      <c r="AB266" t="s">
        <v>1955</v>
      </c>
      <c r="AC266" t="s">
        <v>1956</v>
      </c>
      <c r="AD266" t="s">
        <v>1957</v>
      </c>
    </row>
    <row r="267" spans="1:30" x14ac:dyDescent="0.3">
      <c r="A267">
        <v>201</v>
      </c>
      <c r="B267" t="s">
        <v>2193</v>
      </c>
      <c r="C267" t="s">
        <v>1961</v>
      </c>
      <c r="D267">
        <v>20</v>
      </c>
      <c r="E267" t="s">
        <v>1969</v>
      </c>
      <c r="F267">
        <v>55</v>
      </c>
      <c r="G267">
        <v>6</v>
      </c>
      <c r="H267">
        <v>719</v>
      </c>
      <c r="I267">
        <v>66</v>
      </c>
      <c r="J267">
        <v>217</v>
      </c>
      <c r="K267">
        <v>0.30399999999999999</v>
      </c>
      <c r="L267">
        <v>21</v>
      </c>
      <c r="M267">
        <v>103</v>
      </c>
      <c r="N267">
        <v>0.20399999999999999</v>
      </c>
      <c r="O267">
        <v>45</v>
      </c>
      <c r="P267">
        <v>114</v>
      </c>
      <c r="Q267">
        <v>0.39500000000000002</v>
      </c>
      <c r="R267">
        <v>0.35299999999999998</v>
      </c>
      <c r="S267">
        <v>35</v>
      </c>
      <c r="T267">
        <v>47</v>
      </c>
      <c r="U267">
        <v>0.745</v>
      </c>
      <c r="V267">
        <v>21</v>
      </c>
      <c r="W267">
        <v>43</v>
      </c>
      <c r="X267">
        <v>64</v>
      </c>
      <c r="Y267">
        <v>29</v>
      </c>
      <c r="Z267">
        <v>39</v>
      </c>
      <c r="AA267">
        <v>7</v>
      </c>
      <c r="AB267">
        <v>38</v>
      </c>
      <c r="AC267">
        <v>71</v>
      </c>
      <c r="AD267">
        <v>188</v>
      </c>
    </row>
    <row r="268" spans="1:30" x14ac:dyDescent="0.3">
      <c r="A268">
        <v>202</v>
      </c>
      <c r="B268" t="s">
        <v>2194</v>
      </c>
      <c r="C268" t="s">
        <v>1961</v>
      </c>
      <c r="D268">
        <v>23</v>
      </c>
      <c r="E268" t="s">
        <v>1984</v>
      </c>
      <c r="F268">
        <v>51</v>
      </c>
      <c r="G268">
        <v>1</v>
      </c>
      <c r="H268">
        <v>493</v>
      </c>
      <c r="I268">
        <v>48</v>
      </c>
      <c r="J268">
        <v>120</v>
      </c>
      <c r="K268">
        <v>0.4</v>
      </c>
      <c r="L268">
        <v>31</v>
      </c>
      <c r="M268">
        <v>84</v>
      </c>
      <c r="N268">
        <v>0.36899999999999999</v>
      </c>
      <c r="O268">
        <v>17</v>
      </c>
      <c r="P268">
        <v>36</v>
      </c>
      <c r="Q268">
        <v>0.47199999999999998</v>
      </c>
      <c r="R268">
        <v>0.52900000000000003</v>
      </c>
      <c r="S268">
        <v>9</v>
      </c>
      <c r="T268">
        <v>15</v>
      </c>
      <c r="U268">
        <v>0.6</v>
      </c>
      <c r="V268">
        <v>7</v>
      </c>
      <c r="W268">
        <v>34</v>
      </c>
      <c r="X268">
        <v>41</v>
      </c>
      <c r="Y268">
        <v>26</v>
      </c>
      <c r="Z268">
        <v>7</v>
      </c>
      <c r="AA268">
        <v>2</v>
      </c>
      <c r="AB268">
        <v>27</v>
      </c>
      <c r="AC268">
        <v>62</v>
      </c>
      <c r="AD268">
        <v>136</v>
      </c>
    </row>
    <row r="269" spans="1:30" x14ac:dyDescent="0.3">
      <c r="A269">
        <v>203</v>
      </c>
      <c r="B269" t="s">
        <v>2195</v>
      </c>
      <c r="C269" t="s">
        <v>1981</v>
      </c>
      <c r="D269">
        <v>22</v>
      </c>
      <c r="E269" t="s">
        <v>2113</v>
      </c>
      <c r="F269">
        <v>68</v>
      </c>
      <c r="G269">
        <v>63</v>
      </c>
      <c r="H269">
        <v>2369</v>
      </c>
      <c r="I269">
        <v>442</v>
      </c>
      <c r="J269">
        <v>949</v>
      </c>
      <c r="K269">
        <v>0.46600000000000003</v>
      </c>
      <c r="L269">
        <v>87</v>
      </c>
      <c r="M269">
        <v>239</v>
      </c>
      <c r="N269">
        <v>0.36399999999999999</v>
      </c>
      <c r="O269">
        <v>355</v>
      </c>
      <c r="P269">
        <v>710</v>
      </c>
      <c r="Q269">
        <v>0.5</v>
      </c>
      <c r="R269">
        <v>0.51200000000000001</v>
      </c>
      <c r="S269">
        <v>193</v>
      </c>
      <c r="T269">
        <v>245</v>
      </c>
      <c r="U269">
        <v>0.78800000000000003</v>
      </c>
      <c r="V269">
        <v>73</v>
      </c>
      <c r="W269">
        <v>357</v>
      </c>
      <c r="X269">
        <v>430</v>
      </c>
      <c r="Y269">
        <v>124</v>
      </c>
      <c r="Z269">
        <v>69</v>
      </c>
      <c r="AA269">
        <v>36</v>
      </c>
      <c r="AB269">
        <v>115</v>
      </c>
      <c r="AC269">
        <v>134</v>
      </c>
      <c r="AD269">
        <v>1164</v>
      </c>
    </row>
    <row r="270" spans="1:30" x14ac:dyDescent="0.3">
      <c r="A270">
        <v>204</v>
      </c>
      <c r="B270" t="s">
        <v>2196</v>
      </c>
      <c r="C270" t="s">
        <v>1956</v>
      </c>
      <c r="D270">
        <v>34</v>
      </c>
      <c r="E270" t="s">
        <v>1986</v>
      </c>
      <c r="F270">
        <v>62</v>
      </c>
      <c r="G270">
        <v>25</v>
      </c>
      <c r="H270">
        <v>995</v>
      </c>
      <c r="I270">
        <v>107</v>
      </c>
      <c r="J270">
        <v>239</v>
      </c>
      <c r="K270">
        <v>0.44800000000000001</v>
      </c>
      <c r="L270">
        <v>2</v>
      </c>
      <c r="M270">
        <v>10</v>
      </c>
      <c r="N270">
        <v>0.2</v>
      </c>
      <c r="O270">
        <v>105</v>
      </c>
      <c r="P270">
        <v>229</v>
      </c>
      <c r="Q270">
        <v>0.45900000000000002</v>
      </c>
      <c r="R270">
        <v>0.45200000000000001</v>
      </c>
      <c r="S270">
        <v>45</v>
      </c>
      <c r="T270">
        <v>64</v>
      </c>
      <c r="U270">
        <v>0.70299999999999996</v>
      </c>
      <c r="V270">
        <v>71</v>
      </c>
      <c r="W270">
        <v>187</v>
      </c>
      <c r="X270">
        <v>258</v>
      </c>
      <c r="Y270">
        <v>46</v>
      </c>
      <c r="Z270">
        <v>21</v>
      </c>
      <c r="AA270">
        <v>13</v>
      </c>
      <c r="AB270">
        <v>41</v>
      </c>
      <c r="AC270">
        <v>113</v>
      </c>
      <c r="AD270">
        <v>261</v>
      </c>
    </row>
    <row r="271" spans="1:30" x14ac:dyDescent="0.3">
      <c r="A271">
        <v>205</v>
      </c>
      <c r="B271" t="s">
        <v>2197</v>
      </c>
      <c r="C271" t="s">
        <v>1956</v>
      </c>
      <c r="D271">
        <v>26</v>
      </c>
      <c r="E271" t="s">
        <v>2015</v>
      </c>
      <c r="F271">
        <v>73</v>
      </c>
      <c r="G271">
        <v>15</v>
      </c>
      <c r="H271">
        <v>1274</v>
      </c>
      <c r="I271">
        <v>163</v>
      </c>
      <c r="J271">
        <v>415</v>
      </c>
      <c r="K271">
        <v>0.39300000000000002</v>
      </c>
      <c r="L271">
        <v>55</v>
      </c>
      <c r="M271">
        <v>176</v>
      </c>
      <c r="N271">
        <v>0.313</v>
      </c>
      <c r="O271">
        <v>108</v>
      </c>
      <c r="P271">
        <v>239</v>
      </c>
      <c r="Q271">
        <v>0.45200000000000001</v>
      </c>
      <c r="R271">
        <v>0.45900000000000002</v>
      </c>
      <c r="S271">
        <v>44</v>
      </c>
      <c r="T271">
        <v>68</v>
      </c>
      <c r="U271">
        <v>0.64700000000000002</v>
      </c>
      <c r="V271">
        <v>30</v>
      </c>
      <c r="W271">
        <v>228</v>
      </c>
      <c r="X271">
        <v>258</v>
      </c>
      <c r="Y271">
        <v>88</v>
      </c>
      <c r="Z271">
        <v>24</v>
      </c>
      <c r="AA271">
        <v>53</v>
      </c>
      <c r="AB271">
        <v>61</v>
      </c>
      <c r="AC271">
        <v>173</v>
      </c>
      <c r="AD271">
        <v>425</v>
      </c>
    </row>
    <row r="272" spans="1:30" x14ac:dyDescent="0.3">
      <c r="A272">
        <v>206</v>
      </c>
      <c r="B272" t="s">
        <v>2198</v>
      </c>
      <c r="C272" t="s">
        <v>213</v>
      </c>
      <c r="D272">
        <v>31</v>
      </c>
      <c r="E272" t="s">
        <v>2068</v>
      </c>
      <c r="F272">
        <v>29</v>
      </c>
      <c r="G272">
        <v>0</v>
      </c>
      <c r="H272">
        <v>255</v>
      </c>
      <c r="I272">
        <v>22</v>
      </c>
      <c r="J272">
        <v>46</v>
      </c>
      <c r="K272">
        <v>0.47799999999999998</v>
      </c>
      <c r="L272">
        <v>0</v>
      </c>
      <c r="M272">
        <v>0</v>
      </c>
      <c r="O272">
        <v>22</v>
      </c>
      <c r="P272">
        <v>46</v>
      </c>
      <c r="Q272">
        <v>0.47799999999999998</v>
      </c>
      <c r="R272">
        <v>0.47799999999999998</v>
      </c>
      <c r="S272">
        <v>6</v>
      </c>
      <c r="T272">
        <v>11</v>
      </c>
      <c r="U272">
        <v>0.54500000000000004</v>
      </c>
      <c r="V272">
        <v>18</v>
      </c>
      <c r="W272">
        <v>33</v>
      </c>
      <c r="X272">
        <v>51</v>
      </c>
      <c r="Y272">
        <v>20</v>
      </c>
      <c r="Z272">
        <v>10</v>
      </c>
      <c r="AA272">
        <v>4</v>
      </c>
      <c r="AB272">
        <v>8</v>
      </c>
      <c r="AC272">
        <v>37</v>
      </c>
      <c r="AD272">
        <v>50</v>
      </c>
    </row>
    <row r="273" spans="1:30" x14ac:dyDescent="0.3">
      <c r="A273">
        <v>207</v>
      </c>
      <c r="B273" t="s">
        <v>2199</v>
      </c>
      <c r="C273" t="s">
        <v>1981</v>
      </c>
      <c r="D273">
        <v>24</v>
      </c>
      <c r="E273" t="s">
        <v>2030</v>
      </c>
      <c r="F273">
        <v>76</v>
      </c>
      <c r="G273">
        <v>76</v>
      </c>
      <c r="H273">
        <v>2618</v>
      </c>
      <c r="I273">
        <v>484</v>
      </c>
      <c r="J273">
        <v>1087</v>
      </c>
      <c r="K273">
        <v>0.44500000000000001</v>
      </c>
      <c r="L273">
        <v>120</v>
      </c>
      <c r="M273">
        <v>330</v>
      </c>
      <c r="N273">
        <v>0.36399999999999999</v>
      </c>
      <c r="O273">
        <v>364</v>
      </c>
      <c r="P273">
        <v>757</v>
      </c>
      <c r="Q273">
        <v>0.48099999999999998</v>
      </c>
      <c r="R273">
        <v>0.5</v>
      </c>
      <c r="S273">
        <v>375</v>
      </c>
      <c r="T273">
        <v>462</v>
      </c>
      <c r="U273">
        <v>0.81200000000000006</v>
      </c>
      <c r="V273">
        <v>54</v>
      </c>
      <c r="W273">
        <v>319</v>
      </c>
      <c r="X273">
        <v>373</v>
      </c>
      <c r="Y273">
        <v>313</v>
      </c>
      <c r="Z273">
        <v>108</v>
      </c>
      <c r="AA273">
        <v>30</v>
      </c>
      <c r="AB273">
        <v>206</v>
      </c>
      <c r="AC273">
        <v>131</v>
      </c>
      <c r="AD273">
        <v>1463</v>
      </c>
    </row>
    <row r="274" spans="1:30" x14ac:dyDescent="0.3">
      <c r="A274">
        <v>208</v>
      </c>
      <c r="B274" t="s">
        <v>2200</v>
      </c>
      <c r="C274" t="s">
        <v>213</v>
      </c>
      <c r="D274">
        <v>35</v>
      </c>
      <c r="E274" t="s">
        <v>1984</v>
      </c>
      <c r="F274">
        <v>22</v>
      </c>
      <c r="G274">
        <v>1</v>
      </c>
      <c r="H274">
        <v>119</v>
      </c>
      <c r="I274">
        <v>14</v>
      </c>
      <c r="J274">
        <v>30</v>
      </c>
      <c r="K274">
        <v>0.46700000000000003</v>
      </c>
      <c r="L274">
        <v>0</v>
      </c>
      <c r="M274">
        <v>0</v>
      </c>
      <c r="O274">
        <v>14</v>
      </c>
      <c r="P274">
        <v>30</v>
      </c>
      <c r="Q274">
        <v>0.46700000000000003</v>
      </c>
      <c r="R274">
        <v>0.46700000000000003</v>
      </c>
      <c r="S274">
        <v>7</v>
      </c>
      <c r="T274">
        <v>13</v>
      </c>
      <c r="U274">
        <v>0.53800000000000003</v>
      </c>
      <c r="V274">
        <v>6</v>
      </c>
      <c r="W274">
        <v>23</v>
      </c>
      <c r="X274">
        <v>29</v>
      </c>
      <c r="Y274">
        <v>2</v>
      </c>
      <c r="Z274">
        <v>2</v>
      </c>
      <c r="AA274">
        <v>10</v>
      </c>
      <c r="AB274">
        <v>10</v>
      </c>
      <c r="AC274">
        <v>17</v>
      </c>
      <c r="AD274">
        <v>35</v>
      </c>
    </row>
    <row r="275" spans="1:30" x14ac:dyDescent="0.3">
      <c r="A275">
        <v>209</v>
      </c>
      <c r="B275" t="s">
        <v>2201</v>
      </c>
      <c r="C275" t="s">
        <v>1961</v>
      </c>
      <c r="D275">
        <v>27</v>
      </c>
      <c r="E275" t="s">
        <v>2036</v>
      </c>
      <c r="F275">
        <v>80</v>
      </c>
      <c r="G275">
        <v>72</v>
      </c>
      <c r="H275">
        <v>2315</v>
      </c>
      <c r="I275">
        <v>370</v>
      </c>
      <c r="J275">
        <v>847</v>
      </c>
      <c r="K275">
        <v>0.437</v>
      </c>
      <c r="L275">
        <v>45</v>
      </c>
      <c r="M275">
        <v>136</v>
      </c>
      <c r="N275">
        <v>0.33100000000000002</v>
      </c>
      <c r="O275">
        <v>325</v>
      </c>
      <c r="P275">
        <v>711</v>
      </c>
      <c r="Q275">
        <v>0.45700000000000002</v>
      </c>
      <c r="R275">
        <v>0.46300000000000002</v>
      </c>
      <c r="S275">
        <v>184</v>
      </c>
      <c r="T275">
        <v>217</v>
      </c>
      <c r="U275">
        <v>0.84799999999999998</v>
      </c>
      <c r="V275">
        <v>36</v>
      </c>
      <c r="W275">
        <v>237</v>
      </c>
      <c r="X275">
        <v>273</v>
      </c>
      <c r="Y275">
        <v>206</v>
      </c>
      <c r="Z275">
        <v>51</v>
      </c>
      <c r="AA275">
        <v>22</v>
      </c>
      <c r="AB275">
        <v>110</v>
      </c>
      <c r="AC275">
        <v>135</v>
      </c>
      <c r="AD275">
        <v>969</v>
      </c>
    </row>
    <row r="276" spans="1:30" x14ac:dyDescent="0.3">
      <c r="A276">
        <v>210</v>
      </c>
      <c r="B276" t="s">
        <v>2202</v>
      </c>
      <c r="C276" t="s">
        <v>1981</v>
      </c>
      <c r="D276">
        <v>23</v>
      </c>
      <c r="E276" t="s">
        <v>2038</v>
      </c>
      <c r="F276">
        <v>9</v>
      </c>
      <c r="G276">
        <v>0</v>
      </c>
      <c r="H276">
        <v>86</v>
      </c>
      <c r="I276">
        <v>3</v>
      </c>
      <c r="J276">
        <v>13</v>
      </c>
      <c r="K276">
        <v>0.23100000000000001</v>
      </c>
      <c r="L276">
        <v>0</v>
      </c>
      <c r="M276">
        <v>0</v>
      </c>
      <c r="O276">
        <v>3</v>
      </c>
      <c r="P276">
        <v>13</v>
      </c>
      <c r="Q276">
        <v>0.23100000000000001</v>
      </c>
      <c r="R276">
        <v>0.23100000000000001</v>
      </c>
      <c r="S276">
        <v>14</v>
      </c>
      <c r="T276">
        <v>24</v>
      </c>
      <c r="U276">
        <v>0.58299999999999996</v>
      </c>
      <c r="V276">
        <v>2</v>
      </c>
      <c r="W276">
        <v>2</v>
      </c>
      <c r="X276">
        <v>4</v>
      </c>
      <c r="Y276">
        <v>3</v>
      </c>
      <c r="Z276">
        <v>3</v>
      </c>
      <c r="AA276">
        <v>0</v>
      </c>
      <c r="AB276">
        <v>3</v>
      </c>
      <c r="AC276">
        <v>6</v>
      </c>
      <c r="AD276">
        <v>20</v>
      </c>
    </row>
    <row r="277" spans="1:30" x14ac:dyDescent="0.3">
      <c r="A277">
        <v>211</v>
      </c>
      <c r="B277" t="s">
        <v>2203</v>
      </c>
      <c r="C277" t="s">
        <v>213</v>
      </c>
      <c r="D277">
        <v>24</v>
      </c>
      <c r="E277" t="s">
        <v>1993</v>
      </c>
      <c r="F277">
        <v>67</v>
      </c>
      <c r="G277">
        <v>11</v>
      </c>
      <c r="H277">
        <v>1228</v>
      </c>
      <c r="I277">
        <v>196</v>
      </c>
      <c r="J277">
        <v>346</v>
      </c>
      <c r="K277">
        <v>0.56599999999999995</v>
      </c>
      <c r="L277">
        <v>0</v>
      </c>
      <c r="M277">
        <v>0</v>
      </c>
      <c r="O277">
        <v>196</v>
      </c>
      <c r="P277">
        <v>346</v>
      </c>
      <c r="Q277">
        <v>0.56599999999999995</v>
      </c>
      <c r="R277">
        <v>0.56599999999999995</v>
      </c>
      <c r="S277">
        <v>78</v>
      </c>
      <c r="T277">
        <v>137</v>
      </c>
      <c r="U277">
        <v>0.56899999999999995</v>
      </c>
      <c r="V277">
        <v>124</v>
      </c>
      <c r="W277">
        <v>188</v>
      </c>
      <c r="X277">
        <v>312</v>
      </c>
      <c r="Y277">
        <v>59</v>
      </c>
      <c r="Z277">
        <v>28</v>
      </c>
      <c r="AA277">
        <v>135</v>
      </c>
      <c r="AB277">
        <v>87</v>
      </c>
      <c r="AC277">
        <v>152</v>
      </c>
      <c r="AD277">
        <v>470</v>
      </c>
    </row>
    <row r="278" spans="1:30" x14ac:dyDescent="0.3">
      <c r="A278">
        <v>212</v>
      </c>
      <c r="B278" t="s">
        <v>2204</v>
      </c>
      <c r="C278" t="s">
        <v>213</v>
      </c>
      <c r="D278">
        <v>28</v>
      </c>
      <c r="E278" t="s">
        <v>1978</v>
      </c>
      <c r="F278">
        <v>76</v>
      </c>
      <c r="G278">
        <v>76</v>
      </c>
      <c r="H278">
        <v>1926</v>
      </c>
      <c r="I278">
        <v>317</v>
      </c>
      <c r="J278">
        <v>710</v>
      </c>
      <c r="K278">
        <v>0.44600000000000001</v>
      </c>
      <c r="L278">
        <v>0</v>
      </c>
      <c r="M278">
        <v>2</v>
      </c>
      <c r="N278">
        <v>0</v>
      </c>
      <c r="O278">
        <v>317</v>
      </c>
      <c r="P278">
        <v>708</v>
      </c>
      <c r="Q278">
        <v>0.44800000000000001</v>
      </c>
      <c r="R278">
        <v>0.44600000000000001</v>
      </c>
      <c r="S278">
        <v>168</v>
      </c>
      <c r="T278">
        <v>204</v>
      </c>
      <c r="U278">
        <v>0.82399999999999995</v>
      </c>
      <c r="V278">
        <v>156</v>
      </c>
      <c r="W278">
        <v>384</v>
      </c>
      <c r="X278">
        <v>540</v>
      </c>
      <c r="Y278">
        <v>84</v>
      </c>
      <c r="Z278">
        <v>18</v>
      </c>
      <c r="AA278">
        <v>125</v>
      </c>
      <c r="AB278">
        <v>107</v>
      </c>
      <c r="AC278">
        <v>216</v>
      </c>
      <c r="AD278">
        <v>802</v>
      </c>
    </row>
    <row r="279" spans="1:30" x14ac:dyDescent="0.3">
      <c r="A279">
        <v>213</v>
      </c>
      <c r="B279" t="s">
        <v>2205</v>
      </c>
      <c r="C279" t="s">
        <v>213</v>
      </c>
      <c r="D279">
        <v>26</v>
      </c>
      <c r="E279" t="s">
        <v>1969</v>
      </c>
      <c r="F279">
        <v>73</v>
      </c>
      <c r="G279">
        <v>8</v>
      </c>
      <c r="H279">
        <v>1411</v>
      </c>
      <c r="I279">
        <v>218</v>
      </c>
      <c r="J279">
        <v>459</v>
      </c>
      <c r="K279">
        <v>0.47499999999999998</v>
      </c>
      <c r="L279">
        <v>0</v>
      </c>
      <c r="M279">
        <v>2</v>
      </c>
      <c r="N279">
        <v>0</v>
      </c>
      <c r="O279">
        <v>218</v>
      </c>
      <c r="P279">
        <v>457</v>
      </c>
      <c r="Q279">
        <v>0.47699999999999998</v>
      </c>
      <c r="R279">
        <v>0.47499999999999998</v>
      </c>
      <c r="S279">
        <v>116</v>
      </c>
      <c r="T279">
        <v>201</v>
      </c>
      <c r="U279">
        <v>0.57699999999999996</v>
      </c>
      <c r="V279">
        <v>150</v>
      </c>
      <c r="W279">
        <v>302</v>
      </c>
      <c r="X279">
        <v>452</v>
      </c>
      <c r="Y279">
        <v>57</v>
      </c>
      <c r="Z279">
        <v>36</v>
      </c>
      <c r="AA279">
        <v>35</v>
      </c>
      <c r="AB279">
        <v>96</v>
      </c>
      <c r="AC279">
        <v>136</v>
      </c>
      <c r="AD279">
        <v>552</v>
      </c>
    </row>
    <row r="280" spans="1:30" x14ac:dyDescent="0.3">
      <c r="A280">
        <v>214</v>
      </c>
      <c r="B280" t="s">
        <v>2206</v>
      </c>
      <c r="C280" t="s">
        <v>1956</v>
      </c>
      <c r="D280">
        <v>32</v>
      </c>
      <c r="E280" t="s">
        <v>2026</v>
      </c>
      <c r="F280">
        <v>67</v>
      </c>
      <c r="G280">
        <v>58</v>
      </c>
      <c r="H280">
        <v>1693</v>
      </c>
      <c r="I280">
        <v>307</v>
      </c>
      <c r="J280">
        <v>601</v>
      </c>
      <c r="K280">
        <v>0.51100000000000001</v>
      </c>
      <c r="L280">
        <v>1</v>
      </c>
      <c r="M280">
        <v>5</v>
      </c>
      <c r="N280">
        <v>0.2</v>
      </c>
      <c r="O280">
        <v>306</v>
      </c>
      <c r="P280">
        <v>596</v>
      </c>
      <c r="Q280">
        <v>0.51300000000000001</v>
      </c>
      <c r="R280">
        <v>0.51200000000000001</v>
      </c>
      <c r="S280">
        <v>122</v>
      </c>
      <c r="T280">
        <v>202</v>
      </c>
      <c r="U280">
        <v>0.60399999999999998</v>
      </c>
      <c r="V280">
        <v>84</v>
      </c>
      <c r="W280">
        <v>261</v>
      </c>
      <c r="X280">
        <v>345</v>
      </c>
      <c r="Y280">
        <v>123</v>
      </c>
      <c r="Z280">
        <v>66</v>
      </c>
      <c r="AA280">
        <v>22</v>
      </c>
      <c r="AB280">
        <v>124</v>
      </c>
      <c r="AC280">
        <v>180</v>
      </c>
      <c r="AD280">
        <v>737</v>
      </c>
    </row>
    <row r="281" spans="1:30" x14ac:dyDescent="0.3">
      <c r="A281">
        <v>215</v>
      </c>
      <c r="B281" t="s">
        <v>2207</v>
      </c>
      <c r="C281" t="s">
        <v>2004</v>
      </c>
      <c r="D281">
        <v>28</v>
      </c>
      <c r="E281" t="s">
        <v>1978</v>
      </c>
      <c r="F281">
        <v>43</v>
      </c>
      <c r="G281">
        <v>36</v>
      </c>
      <c r="H281">
        <v>1267</v>
      </c>
      <c r="I281">
        <v>255</v>
      </c>
      <c r="J281">
        <v>535</v>
      </c>
      <c r="K281">
        <v>0.47699999999999998</v>
      </c>
      <c r="L281">
        <v>69</v>
      </c>
      <c r="M281">
        <v>193</v>
      </c>
      <c r="N281">
        <v>0.35799999999999998</v>
      </c>
      <c r="O281">
        <v>186</v>
      </c>
      <c r="P281">
        <v>342</v>
      </c>
      <c r="Q281">
        <v>0.54400000000000004</v>
      </c>
      <c r="R281">
        <v>0.54100000000000004</v>
      </c>
      <c r="S281">
        <v>113</v>
      </c>
      <c r="T281">
        <v>143</v>
      </c>
      <c r="U281">
        <v>0.79</v>
      </c>
      <c r="V281">
        <v>25</v>
      </c>
      <c r="W281">
        <v>154</v>
      </c>
      <c r="X281">
        <v>179</v>
      </c>
      <c r="Y281">
        <v>220</v>
      </c>
      <c r="Z281">
        <v>44</v>
      </c>
      <c r="AA281">
        <v>14</v>
      </c>
      <c r="AB281">
        <v>69</v>
      </c>
      <c r="AC281">
        <v>111</v>
      </c>
      <c r="AD281">
        <v>692</v>
      </c>
    </row>
    <row r="282" spans="1:30" x14ac:dyDescent="0.3">
      <c r="A282">
        <v>216</v>
      </c>
      <c r="B282" t="s">
        <v>2208</v>
      </c>
      <c r="C282" t="s">
        <v>213</v>
      </c>
      <c r="D282">
        <v>27</v>
      </c>
      <c r="E282" t="s">
        <v>2038</v>
      </c>
      <c r="F282">
        <v>70</v>
      </c>
      <c r="G282">
        <v>57</v>
      </c>
      <c r="H282">
        <v>1874</v>
      </c>
      <c r="I282">
        <v>357</v>
      </c>
      <c r="J282">
        <v>777</v>
      </c>
      <c r="K282">
        <v>0.45900000000000002</v>
      </c>
      <c r="L282">
        <v>3</v>
      </c>
      <c r="M282">
        <v>11</v>
      </c>
      <c r="N282">
        <v>0.27300000000000002</v>
      </c>
      <c r="O282">
        <v>354</v>
      </c>
      <c r="P282">
        <v>766</v>
      </c>
      <c r="Q282">
        <v>0.46200000000000002</v>
      </c>
      <c r="R282">
        <v>0.46100000000000002</v>
      </c>
      <c r="S282">
        <v>124</v>
      </c>
      <c r="T282">
        <v>168</v>
      </c>
      <c r="U282">
        <v>0.73799999999999999</v>
      </c>
      <c r="V282">
        <v>174</v>
      </c>
      <c r="W282">
        <v>382</v>
      </c>
      <c r="X282">
        <v>556</v>
      </c>
      <c r="Y282">
        <v>103</v>
      </c>
      <c r="Z282">
        <v>34</v>
      </c>
      <c r="AA282">
        <v>52</v>
      </c>
      <c r="AB282">
        <v>106</v>
      </c>
      <c r="AC282">
        <v>164</v>
      </c>
      <c r="AD282">
        <v>841</v>
      </c>
    </row>
    <row r="283" spans="1:30" x14ac:dyDescent="0.3">
      <c r="A283">
        <v>217</v>
      </c>
      <c r="B283" t="s">
        <v>2209</v>
      </c>
      <c r="C283" t="s">
        <v>1981</v>
      </c>
      <c r="D283">
        <v>23</v>
      </c>
      <c r="E283" t="s">
        <v>1978</v>
      </c>
      <c r="F283">
        <v>82</v>
      </c>
      <c r="G283">
        <v>78</v>
      </c>
      <c r="H283">
        <v>2381</v>
      </c>
      <c r="I283">
        <v>251</v>
      </c>
      <c r="J283">
        <v>634</v>
      </c>
      <c r="K283">
        <v>0.39600000000000002</v>
      </c>
      <c r="L283">
        <v>68</v>
      </c>
      <c r="M283">
        <v>208</v>
      </c>
      <c r="N283">
        <v>0.32700000000000001</v>
      </c>
      <c r="O283">
        <v>183</v>
      </c>
      <c r="P283">
        <v>426</v>
      </c>
      <c r="Q283">
        <v>0.43</v>
      </c>
      <c r="R283">
        <v>0.45</v>
      </c>
      <c r="S283">
        <v>159</v>
      </c>
      <c r="T283">
        <v>193</v>
      </c>
      <c r="U283">
        <v>0.82399999999999995</v>
      </c>
      <c r="V283">
        <v>70</v>
      </c>
      <c r="W283">
        <v>244</v>
      </c>
      <c r="X283">
        <v>314</v>
      </c>
      <c r="Y283">
        <v>184</v>
      </c>
      <c r="Z283">
        <v>66</v>
      </c>
      <c r="AA283">
        <v>18</v>
      </c>
      <c r="AB283">
        <v>115</v>
      </c>
      <c r="AC283">
        <v>177</v>
      </c>
      <c r="AD283">
        <v>729</v>
      </c>
    </row>
    <row r="284" spans="1:30" x14ac:dyDescent="0.3">
      <c r="A284">
        <v>218</v>
      </c>
      <c r="B284" t="s">
        <v>2210</v>
      </c>
      <c r="C284" t="s">
        <v>1961</v>
      </c>
      <c r="D284">
        <v>34</v>
      </c>
      <c r="E284" t="s">
        <v>2008</v>
      </c>
      <c r="F284">
        <v>66</v>
      </c>
      <c r="G284">
        <v>22</v>
      </c>
      <c r="H284">
        <v>1610</v>
      </c>
      <c r="I284">
        <v>142</v>
      </c>
      <c r="J284">
        <v>381</v>
      </c>
      <c r="K284">
        <v>0.373</v>
      </c>
      <c r="L284">
        <v>58</v>
      </c>
      <c r="M284">
        <v>168</v>
      </c>
      <c r="N284">
        <v>0.34499999999999997</v>
      </c>
      <c r="O284">
        <v>84</v>
      </c>
      <c r="P284">
        <v>213</v>
      </c>
      <c r="Q284">
        <v>0.39400000000000002</v>
      </c>
      <c r="R284">
        <v>0.44900000000000001</v>
      </c>
      <c r="S284">
        <v>35</v>
      </c>
      <c r="T284">
        <v>50</v>
      </c>
      <c r="U284">
        <v>0.7</v>
      </c>
      <c r="V284">
        <v>20</v>
      </c>
      <c r="W284">
        <v>101</v>
      </c>
      <c r="X284">
        <v>121</v>
      </c>
      <c r="Y284">
        <v>148</v>
      </c>
      <c r="Z284">
        <v>46</v>
      </c>
      <c r="AA284">
        <v>14</v>
      </c>
      <c r="AB284">
        <v>73</v>
      </c>
      <c r="AC284">
        <v>144</v>
      </c>
      <c r="AD284">
        <v>377</v>
      </c>
    </row>
    <row r="285" spans="1:30" x14ac:dyDescent="0.3">
      <c r="A285">
        <v>219</v>
      </c>
      <c r="B285" t="s">
        <v>2211</v>
      </c>
      <c r="C285" t="s">
        <v>2004</v>
      </c>
      <c r="D285">
        <v>24</v>
      </c>
      <c r="E285" t="s">
        <v>1972</v>
      </c>
      <c r="F285">
        <v>40</v>
      </c>
      <c r="G285">
        <v>37</v>
      </c>
      <c r="H285">
        <v>1303</v>
      </c>
      <c r="I285">
        <v>238</v>
      </c>
      <c r="J285">
        <v>534</v>
      </c>
      <c r="K285">
        <v>0.44600000000000001</v>
      </c>
      <c r="L285">
        <v>51</v>
      </c>
      <c r="M285">
        <v>135</v>
      </c>
      <c r="N285">
        <v>0.378</v>
      </c>
      <c r="O285">
        <v>187</v>
      </c>
      <c r="P285">
        <v>399</v>
      </c>
      <c r="Q285">
        <v>0.46899999999999997</v>
      </c>
      <c r="R285">
        <v>0.49299999999999999</v>
      </c>
      <c r="S285">
        <v>65</v>
      </c>
      <c r="T285">
        <v>76</v>
      </c>
      <c r="U285">
        <v>0.85499999999999998</v>
      </c>
      <c r="V285">
        <v>32</v>
      </c>
      <c r="W285">
        <v>103</v>
      </c>
      <c r="X285">
        <v>135</v>
      </c>
      <c r="Y285">
        <v>274</v>
      </c>
      <c r="Z285">
        <v>63</v>
      </c>
      <c r="AA285">
        <v>23</v>
      </c>
      <c r="AB285">
        <v>91</v>
      </c>
      <c r="AC285">
        <v>110</v>
      </c>
      <c r="AD285">
        <v>592</v>
      </c>
    </row>
    <row r="286" spans="1:30" x14ac:dyDescent="0.3">
      <c r="A286">
        <v>220</v>
      </c>
      <c r="B286" t="s">
        <v>2212</v>
      </c>
      <c r="C286" t="s">
        <v>1961</v>
      </c>
      <c r="D286">
        <v>25</v>
      </c>
      <c r="E286" t="s">
        <v>2010</v>
      </c>
      <c r="F286">
        <v>59</v>
      </c>
      <c r="G286">
        <v>4</v>
      </c>
      <c r="H286">
        <v>657</v>
      </c>
      <c r="I286">
        <v>91</v>
      </c>
      <c r="J286">
        <v>235</v>
      </c>
      <c r="K286">
        <v>0.38700000000000001</v>
      </c>
      <c r="L286">
        <v>35</v>
      </c>
      <c r="M286">
        <v>109</v>
      </c>
      <c r="N286">
        <v>0.32100000000000001</v>
      </c>
      <c r="O286">
        <v>56</v>
      </c>
      <c r="P286">
        <v>126</v>
      </c>
      <c r="Q286">
        <v>0.44400000000000001</v>
      </c>
      <c r="R286">
        <v>0.46200000000000002</v>
      </c>
      <c r="S286">
        <v>37</v>
      </c>
      <c r="T286">
        <v>45</v>
      </c>
      <c r="U286">
        <v>0.82199999999999995</v>
      </c>
      <c r="V286">
        <v>12</v>
      </c>
      <c r="W286">
        <v>61</v>
      </c>
      <c r="X286">
        <v>73</v>
      </c>
      <c r="Y286">
        <v>48</v>
      </c>
      <c r="Z286">
        <v>40</v>
      </c>
      <c r="AA286">
        <v>12</v>
      </c>
      <c r="AB286">
        <v>29</v>
      </c>
      <c r="AC286">
        <v>54</v>
      </c>
      <c r="AD286">
        <v>254</v>
      </c>
    </row>
    <row r="287" spans="1:30" x14ac:dyDescent="0.3">
      <c r="A287" t="s">
        <v>1929</v>
      </c>
      <c r="B287" t="s">
        <v>1930</v>
      </c>
      <c r="C287" t="s">
        <v>1931</v>
      </c>
      <c r="D287" t="s">
        <v>198</v>
      </c>
      <c r="E287" t="s">
        <v>1932</v>
      </c>
      <c r="F287" t="s">
        <v>1933</v>
      </c>
      <c r="G287" t="s">
        <v>1934</v>
      </c>
      <c r="H287" t="s">
        <v>1935</v>
      </c>
      <c r="I287" t="s">
        <v>1936</v>
      </c>
      <c r="J287" t="s">
        <v>1937</v>
      </c>
      <c r="K287" t="s">
        <v>1938</v>
      </c>
      <c r="L287" t="s">
        <v>1939</v>
      </c>
      <c r="M287" t="s">
        <v>1940</v>
      </c>
      <c r="N287" t="s">
        <v>1941</v>
      </c>
      <c r="O287" t="s">
        <v>1942</v>
      </c>
      <c r="P287" t="s">
        <v>1943</v>
      </c>
      <c r="Q287" t="s">
        <v>1944</v>
      </c>
      <c r="R287" t="s">
        <v>1945</v>
      </c>
      <c r="S287" t="s">
        <v>1946</v>
      </c>
      <c r="T287" t="s">
        <v>1947</v>
      </c>
      <c r="U287" t="s">
        <v>1948</v>
      </c>
      <c r="V287" t="s">
        <v>1949</v>
      </c>
      <c r="W287" t="s">
        <v>1950</v>
      </c>
      <c r="X287" t="s">
        <v>1951</v>
      </c>
      <c r="Y287" t="s">
        <v>1952</v>
      </c>
      <c r="Z287" t="s">
        <v>1953</v>
      </c>
      <c r="AA287" t="s">
        <v>1954</v>
      </c>
      <c r="AB287" t="s">
        <v>1955</v>
      </c>
      <c r="AC287" t="s">
        <v>1956</v>
      </c>
      <c r="AD287" t="s">
        <v>1957</v>
      </c>
    </row>
    <row r="288" spans="1:30" x14ac:dyDescent="0.3">
      <c r="A288">
        <v>221</v>
      </c>
      <c r="B288" t="s">
        <v>2213</v>
      </c>
      <c r="C288" t="s">
        <v>213</v>
      </c>
      <c r="D288">
        <v>30</v>
      </c>
      <c r="E288" t="s">
        <v>2034</v>
      </c>
      <c r="F288">
        <v>46</v>
      </c>
      <c r="G288">
        <v>9</v>
      </c>
      <c r="H288">
        <v>441</v>
      </c>
      <c r="I288">
        <v>53</v>
      </c>
      <c r="J288">
        <v>82</v>
      </c>
      <c r="K288">
        <v>0.64600000000000002</v>
      </c>
      <c r="L288">
        <v>0</v>
      </c>
      <c r="M288">
        <v>0</v>
      </c>
      <c r="O288">
        <v>53</v>
      </c>
      <c r="P288">
        <v>82</v>
      </c>
      <c r="Q288">
        <v>0.64600000000000002</v>
      </c>
      <c r="R288">
        <v>0.64600000000000002</v>
      </c>
      <c r="S288">
        <v>31</v>
      </c>
      <c r="T288">
        <v>54</v>
      </c>
      <c r="U288">
        <v>0.57399999999999995</v>
      </c>
      <c r="V288">
        <v>36</v>
      </c>
      <c r="W288">
        <v>67</v>
      </c>
      <c r="X288">
        <v>103</v>
      </c>
      <c r="Y288">
        <v>14</v>
      </c>
      <c r="Z288">
        <v>6</v>
      </c>
      <c r="AA288">
        <v>19</v>
      </c>
      <c r="AB288">
        <v>25</v>
      </c>
      <c r="AC288">
        <v>65</v>
      </c>
      <c r="AD288">
        <v>137</v>
      </c>
    </row>
    <row r="289" spans="1:30" x14ac:dyDescent="0.3">
      <c r="A289">
        <v>222</v>
      </c>
      <c r="B289" t="s">
        <v>2214</v>
      </c>
      <c r="C289" t="s">
        <v>1961</v>
      </c>
      <c r="D289">
        <v>22</v>
      </c>
      <c r="E289" t="s">
        <v>2030</v>
      </c>
      <c r="F289">
        <v>50</v>
      </c>
      <c r="G289">
        <v>21</v>
      </c>
      <c r="H289">
        <v>1064</v>
      </c>
      <c r="I289">
        <v>155</v>
      </c>
      <c r="J289">
        <v>374</v>
      </c>
      <c r="K289">
        <v>0.41399999999999998</v>
      </c>
      <c r="L289">
        <v>62</v>
      </c>
      <c r="M289">
        <v>170</v>
      </c>
      <c r="N289">
        <v>0.36499999999999999</v>
      </c>
      <c r="O289">
        <v>93</v>
      </c>
      <c r="P289">
        <v>204</v>
      </c>
      <c r="Q289">
        <v>0.45600000000000002</v>
      </c>
      <c r="R289">
        <v>0.497</v>
      </c>
      <c r="S289">
        <v>61</v>
      </c>
      <c r="T289">
        <v>80</v>
      </c>
      <c r="U289">
        <v>0.76300000000000001</v>
      </c>
      <c r="V289">
        <v>9</v>
      </c>
      <c r="W289">
        <v>108</v>
      </c>
      <c r="X289">
        <v>117</v>
      </c>
      <c r="Y289">
        <v>83</v>
      </c>
      <c r="Z289">
        <v>30</v>
      </c>
      <c r="AA289">
        <v>12</v>
      </c>
      <c r="AB289">
        <v>45</v>
      </c>
      <c r="AC289">
        <v>119</v>
      </c>
      <c r="AD289">
        <v>433</v>
      </c>
    </row>
    <row r="290" spans="1:30" x14ac:dyDescent="0.3">
      <c r="A290">
        <v>223</v>
      </c>
      <c r="B290" t="s">
        <v>2215</v>
      </c>
      <c r="C290" t="s">
        <v>213</v>
      </c>
      <c r="D290">
        <v>28</v>
      </c>
      <c r="E290" t="s">
        <v>1998</v>
      </c>
      <c r="F290">
        <v>76</v>
      </c>
      <c r="G290">
        <v>76</v>
      </c>
      <c r="H290">
        <v>2318</v>
      </c>
      <c r="I290">
        <v>519</v>
      </c>
      <c r="J290">
        <v>965</v>
      </c>
      <c r="K290">
        <v>0.53800000000000003</v>
      </c>
      <c r="L290">
        <v>11</v>
      </c>
      <c r="M290">
        <v>36</v>
      </c>
      <c r="N290">
        <v>0.30599999999999999</v>
      </c>
      <c r="O290">
        <v>508</v>
      </c>
      <c r="P290">
        <v>929</v>
      </c>
      <c r="Q290">
        <v>0.54700000000000004</v>
      </c>
      <c r="R290">
        <v>0.54400000000000004</v>
      </c>
      <c r="S290">
        <v>107</v>
      </c>
      <c r="T290">
        <v>141</v>
      </c>
      <c r="U290">
        <v>0.75900000000000001</v>
      </c>
      <c r="V290">
        <v>131</v>
      </c>
      <c r="W290">
        <v>413</v>
      </c>
      <c r="X290">
        <v>544</v>
      </c>
      <c r="Y290">
        <v>244</v>
      </c>
      <c r="Z290">
        <v>68</v>
      </c>
      <c r="AA290">
        <v>98</v>
      </c>
      <c r="AB290">
        <v>100</v>
      </c>
      <c r="AC290">
        <v>121</v>
      </c>
      <c r="AD290">
        <v>1156</v>
      </c>
    </row>
    <row r="291" spans="1:30" x14ac:dyDescent="0.3">
      <c r="A291">
        <v>224</v>
      </c>
      <c r="B291" t="s">
        <v>2216</v>
      </c>
      <c r="C291" t="s">
        <v>213</v>
      </c>
      <c r="D291">
        <v>29</v>
      </c>
      <c r="E291" t="s">
        <v>2000</v>
      </c>
      <c r="F291">
        <v>41</v>
      </c>
      <c r="G291">
        <v>41</v>
      </c>
      <c r="H291">
        <v>1223</v>
      </c>
      <c r="I291">
        <v>251</v>
      </c>
      <c r="J291">
        <v>423</v>
      </c>
      <c r="K291">
        <v>0.59299999999999997</v>
      </c>
      <c r="L291">
        <v>1</v>
      </c>
      <c r="M291">
        <v>2</v>
      </c>
      <c r="N291">
        <v>0.5</v>
      </c>
      <c r="O291">
        <v>250</v>
      </c>
      <c r="P291">
        <v>421</v>
      </c>
      <c r="Q291">
        <v>0.59399999999999997</v>
      </c>
      <c r="R291">
        <v>0.59499999999999997</v>
      </c>
      <c r="S291">
        <v>143</v>
      </c>
      <c r="T291">
        <v>271</v>
      </c>
      <c r="U291">
        <v>0.52800000000000002</v>
      </c>
      <c r="V291">
        <v>110</v>
      </c>
      <c r="W291">
        <v>321</v>
      </c>
      <c r="X291">
        <v>431</v>
      </c>
      <c r="Y291">
        <v>50</v>
      </c>
      <c r="Z291">
        <v>28</v>
      </c>
      <c r="AA291">
        <v>53</v>
      </c>
      <c r="AB291">
        <v>115</v>
      </c>
      <c r="AC291">
        <v>137</v>
      </c>
      <c r="AD291">
        <v>646</v>
      </c>
    </row>
    <row r="292" spans="1:30" x14ac:dyDescent="0.3">
      <c r="A292">
        <v>225</v>
      </c>
      <c r="B292" t="s">
        <v>2217</v>
      </c>
      <c r="C292" t="s">
        <v>1961</v>
      </c>
      <c r="D292">
        <v>30</v>
      </c>
      <c r="E292" t="s">
        <v>2015</v>
      </c>
      <c r="F292">
        <v>5</v>
      </c>
      <c r="G292">
        <v>0</v>
      </c>
      <c r="H292">
        <v>56</v>
      </c>
      <c r="I292">
        <v>6</v>
      </c>
      <c r="J292">
        <v>14</v>
      </c>
      <c r="K292">
        <v>0.42899999999999999</v>
      </c>
      <c r="L292">
        <v>3</v>
      </c>
      <c r="M292">
        <v>6</v>
      </c>
      <c r="N292">
        <v>0.5</v>
      </c>
      <c r="O292">
        <v>3</v>
      </c>
      <c r="P292">
        <v>8</v>
      </c>
      <c r="Q292">
        <v>0.375</v>
      </c>
      <c r="R292">
        <v>0.53600000000000003</v>
      </c>
      <c r="S292">
        <v>3</v>
      </c>
      <c r="T292">
        <v>4</v>
      </c>
      <c r="U292">
        <v>0.75</v>
      </c>
      <c r="V292">
        <v>1</v>
      </c>
      <c r="W292">
        <v>7</v>
      </c>
      <c r="X292">
        <v>8</v>
      </c>
      <c r="Y292">
        <v>5</v>
      </c>
      <c r="Z292">
        <v>6</v>
      </c>
      <c r="AA292">
        <v>1</v>
      </c>
      <c r="AB292">
        <v>3</v>
      </c>
      <c r="AC292">
        <v>4</v>
      </c>
      <c r="AD292">
        <v>18</v>
      </c>
    </row>
    <row r="293" spans="1:30" x14ac:dyDescent="0.3">
      <c r="A293">
        <v>226</v>
      </c>
      <c r="B293" t="s">
        <v>2218</v>
      </c>
      <c r="C293" t="s">
        <v>1981</v>
      </c>
      <c r="D293">
        <v>25</v>
      </c>
      <c r="E293" t="s">
        <v>1966</v>
      </c>
      <c r="F293">
        <v>45</v>
      </c>
      <c r="G293">
        <v>4</v>
      </c>
      <c r="H293">
        <v>742</v>
      </c>
      <c r="I293">
        <v>79</v>
      </c>
      <c r="J293">
        <v>172</v>
      </c>
      <c r="K293">
        <v>0.45900000000000002</v>
      </c>
      <c r="L293">
        <v>16</v>
      </c>
      <c r="M293">
        <v>51</v>
      </c>
      <c r="N293">
        <v>0.314</v>
      </c>
      <c r="O293">
        <v>63</v>
      </c>
      <c r="P293">
        <v>121</v>
      </c>
      <c r="Q293">
        <v>0.52100000000000002</v>
      </c>
      <c r="R293">
        <v>0.50600000000000001</v>
      </c>
      <c r="S293">
        <v>24</v>
      </c>
      <c r="T293">
        <v>29</v>
      </c>
      <c r="U293">
        <v>0.82799999999999996</v>
      </c>
      <c r="V293">
        <v>31</v>
      </c>
      <c r="W293">
        <v>103</v>
      </c>
      <c r="X293">
        <v>134</v>
      </c>
      <c r="Y293">
        <v>27</v>
      </c>
      <c r="Z293">
        <v>16</v>
      </c>
      <c r="AA293">
        <v>9</v>
      </c>
      <c r="AB293">
        <v>18</v>
      </c>
      <c r="AC293">
        <v>86</v>
      </c>
      <c r="AD293">
        <v>198</v>
      </c>
    </row>
    <row r="294" spans="1:30" x14ac:dyDescent="0.3">
      <c r="A294">
        <v>227</v>
      </c>
      <c r="B294" t="s">
        <v>2219</v>
      </c>
      <c r="C294" t="s">
        <v>1956</v>
      </c>
      <c r="D294">
        <v>29</v>
      </c>
      <c r="E294" t="s">
        <v>2026</v>
      </c>
      <c r="F294">
        <v>64</v>
      </c>
      <c r="G294">
        <v>17</v>
      </c>
      <c r="H294">
        <v>1345</v>
      </c>
      <c r="I294">
        <v>211</v>
      </c>
      <c r="J294">
        <v>446</v>
      </c>
      <c r="K294">
        <v>0.47299999999999998</v>
      </c>
      <c r="L294">
        <v>0</v>
      </c>
      <c r="M294">
        <v>7</v>
      </c>
      <c r="N294">
        <v>0</v>
      </c>
      <c r="O294">
        <v>211</v>
      </c>
      <c r="P294">
        <v>439</v>
      </c>
      <c r="Q294">
        <v>0.48099999999999998</v>
      </c>
      <c r="R294">
        <v>0.47299999999999998</v>
      </c>
      <c r="S294">
        <v>87</v>
      </c>
      <c r="T294">
        <v>117</v>
      </c>
      <c r="U294">
        <v>0.74399999999999999</v>
      </c>
      <c r="V294">
        <v>118</v>
      </c>
      <c r="W294">
        <v>298</v>
      </c>
      <c r="X294">
        <v>416</v>
      </c>
      <c r="Y294">
        <v>57</v>
      </c>
      <c r="Z294">
        <v>34</v>
      </c>
      <c r="AA294">
        <v>25</v>
      </c>
      <c r="AB294">
        <v>46</v>
      </c>
      <c r="AC294">
        <v>130</v>
      </c>
      <c r="AD294">
        <v>509</v>
      </c>
    </row>
    <row r="295" spans="1:30" x14ac:dyDescent="0.3">
      <c r="A295">
        <v>228</v>
      </c>
      <c r="B295" t="s">
        <v>2220</v>
      </c>
      <c r="C295" t="s">
        <v>1956</v>
      </c>
      <c r="D295">
        <v>25</v>
      </c>
      <c r="E295" t="s">
        <v>1964</v>
      </c>
      <c r="F295">
        <v>64</v>
      </c>
      <c r="G295">
        <v>64</v>
      </c>
      <c r="H295">
        <v>2116</v>
      </c>
      <c r="I295">
        <v>374</v>
      </c>
      <c r="J295">
        <v>786</v>
      </c>
      <c r="K295">
        <v>0.47599999999999998</v>
      </c>
      <c r="L295">
        <v>77</v>
      </c>
      <c r="M295">
        <v>205</v>
      </c>
      <c r="N295">
        <v>0.376</v>
      </c>
      <c r="O295">
        <v>297</v>
      </c>
      <c r="P295">
        <v>581</v>
      </c>
      <c r="Q295">
        <v>0.51100000000000001</v>
      </c>
      <c r="R295">
        <v>0.52500000000000002</v>
      </c>
      <c r="S295">
        <v>92</v>
      </c>
      <c r="T295">
        <v>110</v>
      </c>
      <c r="U295">
        <v>0.83599999999999997</v>
      </c>
      <c r="V295">
        <v>135</v>
      </c>
      <c r="W295">
        <v>364</v>
      </c>
      <c r="X295">
        <v>499</v>
      </c>
      <c r="Y295">
        <v>55</v>
      </c>
      <c r="Z295">
        <v>30</v>
      </c>
      <c r="AA295">
        <v>155</v>
      </c>
      <c r="AB295">
        <v>97</v>
      </c>
      <c r="AC295">
        <v>194</v>
      </c>
      <c r="AD295">
        <v>917</v>
      </c>
    </row>
    <row r="296" spans="1:30" x14ac:dyDescent="0.3">
      <c r="A296">
        <v>229</v>
      </c>
      <c r="B296" t="s">
        <v>2221</v>
      </c>
      <c r="C296" t="s">
        <v>1981</v>
      </c>
      <c r="D296">
        <v>31</v>
      </c>
      <c r="E296" t="s">
        <v>2010</v>
      </c>
      <c r="F296">
        <v>77</v>
      </c>
      <c r="G296">
        <v>0</v>
      </c>
      <c r="H296">
        <v>2069</v>
      </c>
      <c r="I296">
        <v>231</v>
      </c>
      <c r="J296">
        <v>496</v>
      </c>
      <c r="K296">
        <v>0.46600000000000003</v>
      </c>
      <c r="L296">
        <v>74</v>
      </c>
      <c r="M296">
        <v>212</v>
      </c>
      <c r="N296">
        <v>0.34899999999999998</v>
      </c>
      <c r="O296">
        <v>157</v>
      </c>
      <c r="P296">
        <v>284</v>
      </c>
      <c r="Q296">
        <v>0.55300000000000005</v>
      </c>
      <c r="R296">
        <v>0.54</v>
      </c>
      <c r="S296">
        <v>68</v>
      </c>
      <c r="T296">
        <v>114</v>
      </c>
      <c r="U296">
        <v>0.59599999999999997</v>
      </c>
      <c r="V296">
        <v>44</v>
      </c>
      <c r="W296">
        <v>213</v>
      </c>
      <c r="X296">
        <v>257</v>
      </c>
      <c r="Y296">
        <v>228</v>
      </c>
      <c r="Z296">
        <v>89</v>
      </c>
      <c r="AA296">
        <v>25</v>
      </c>
      <c r="AB296">
        <v>88</v>
      </c>
      <c r="AC296">
        <v>100</v>
      </c>
      <c r="AD296">
        <v>604</v>
      </c>
    </row>
    <row r="297" spans="1:30" x14ac:dyDescent="0.3">
      <c r="A297">
        <v>230</v>
      </c>
      <c r="B297" t="s">
        <v>2222</v>
      </c>
      <c r="C297" t="s">
        <v>1956</v>
      </c>
      <c r="D297">
        <v>27</v>
      </c>
      <c r="E297" t="s">
        <v>1993</v>
      </c>
      <c r="F297">
        <v>58</v>
      </c>
      <c r="G297">
        <v>36</v>
      </c>
      <c r="H297">
        <v>1319</v>
      </c>
      <c r="I297">
        <v>263</v>
      </c>
      <c r="J297">
        <v>557</v>
      </c>
      <c r="K297">
        <v>0.47199999999999998</v>
      </c>
      <c r="L297">
        <v>74</v>
      </c>
      <c r="M297">
        <v>190</v>
      </c>
      <c r="N297">
        <v>0.38900000000000001</v>
      </c>
      <c r="O297">
        <v>189</v>
      </c>
      <c r="P297">
        <v>367</v>
      </c>
      <c r="Q297">
        <v>0.51500000000000001</v>
      </c>
      <c r="R297">
        <v>0.53900000000000003</v>
      </c>
      <c r="S297">
        <v>69</v>
      </c>
      <c r="T297">
        <v>107</v>
      </c>
      <c r="U297">
        <v>0.64500000000000002</v>
      </c>
      <c r="V297">
        <v>80</v>
      </c>
      <c r="W297">
        <v>197</v>
      </c>
      <c r="X297">
        <v>277</v>
      </c>
      <c r="Y297">
        <v>56</v>
      </c>
      <c r="Z297">
        <v>36</v>
      </c>
      <c r="AA297">
        <v>19</v>
      </c>
      <c r="AB297">
        <v>45</v>
      </c>
      <c r="AC297">
        <v>149</v>
      </c>
      <c r="AD297">
        <v>669</v>
      </c>
    </row>
    <row r="298" spans="1:30" x14ac:dyDescent="0.3">
      <c r="A298">
        <v>231</v>
      </c>
      <c r="B298" t="s">
        <v>2223</v>
      </c>
      <c r="C298" t="s">
        <v>1981</v>
      </c>
      <c r="D298">
        <v>27</v>
      </c>
      <c r="E298" t="s">
        <v>2030</v>
      </c>
      <c r="F298">
        <v>79</v>
      </c>
      <c r="G298">
        <v>32</v>
      </c>
      <c r="H298">
        <v>1673</v>
      </c>
      <c r="I298">
        <v>147</v>
      </c>
      <c r="J298">
        <v>354</v>
      </c>
      <c r="K298">
        <v>0.41499999999999998</v>
      </c>
      <c r="L298">
        <v>72</v>
      </c>
      <c r="M298">
        <v>202</v>
      </c>
      <c r="N298">
        <v>0.35599999999999998</v>
      </c>
      <c r="O298">
        <v>75</v>
      </c>
      <c r="P298">
        <v>152</v>
      </c>
      <c r="Q298">
        <v>0.49299999999999999</v>
      </c>
      <c r="R298">
        <v>0.51700000000000002</v>
      </c>
      <c r="S298">
        <v>30</v>
      </c>
      <c r="T298">
        <v>40</v>
      </c>
      <c r="U298">
        <v>0.75</v>
      </c>
      <c r="V298">
        <v>22</v>
      </c>
      <c r="W298">
        <v>153</v>
      </c>
      <c r="X298">
        <v>175</v>
      </c>
      <c r="Y298">
        <v>182</v>
      </c>
      <c r="Z298">
        <v>72</v>
      </c>
      <c r="AA298">
        <v>10</v>
      </c>
      <c r="AB298">
        <v>98</v>
      </c>
      <c r="AC298">
        <v>124</v>
      </c>
      <c r="AD298">
        <v>396</v>
      </c>
    </row>
    <row r="299" spans="1:30" x14ac:dyDescent="0.3">
      <c r="A299">
        <v>232</v>
      </c>
      <c r="B299" t="s">
        <v>2224</v>
      </c>
      <c r="C299" t="s">
        <v>2004</v>
      </c>
      <c r="D299">
        <v>22</v>
      </c>
      <c r="E299" t="s">
        <v>1984</v>
      </c>
      <c r="F299">
        <v>75</v>
      </c>
      <c r="G299">
        <v>75</v>
      </c>
      <c r="H299">
        <v>2730</v>
      </c>
      <c r="I299">
        <v>578</v>
      </c>
      <c r="J299">
        <v>1235</v>
      </c>
      <c r="K299">
        <v>0.46800000000000003</v>
      </c>
      <c r="L299">
        <v>157</v>
      </c>
      <c r="M299">
        <v>378</v>
      </c>
      <c r="N299">
        <v>0.41499999999999998</v>
      </c>
      <c r="O299">
        <v>421</v>
      </c>
      <c r="P299">
        <v>857</v>
      </c>
      <c r="Q299">
        <v>0.49099999999999999</v>
      </c>
      <c r="R299">
        <v>0.53200000000000003</v>
      </c>
      <c r="S299">
        <v>315</v>
      </c>
      <c r="T299">
        <v>365</v>
      </c>
      <c r="U299">
        <v>0.86299999999999999</v>
      </c>
      <c r="V299">
        <v>55</v>
      </c>
      <c r="W299">
        <v>182</v>
      </c>
      <c r="X299">
        <v>237</v>
      </c>
      <c r="Y299">
        <v>389</v>
      </c>
      <c r="Z299">
        <v>114</v>
      </c>
      <c r="AA299">
        <v>20</v>
      </c>
      <c r="AB299">
        <v>186</v>
      </c>
      <c r="AC299">
        <v>146</v>
      </c>
      <c r="AD299">
        <v>1628</v>
      </c>
    </row>
    <row r="300" spans="1:30" x14ac:dyDescent="0.3">
      <c r="A300">
        <v>233</v>
      </c>
      <c r="B300" t="s">
        <v>2225</v>
      </c>
      <c r="C300" t="s">
        <v>2004</v>
      </c>
      <c r="D300">
        <v>31</v>
      </c>
      <c r="E300" t="s">
        <v>1988</v>
      </c>
      <c r="F300">
        <v>80</v>
      </c>
      <c r="G300">
        <v>27</v>
      </c>
      <c r="H300">
        <v>2241</v>
      </c>
      <c r="I300">
        <v>359</v>
      </c>
      <c r="J300">
        <v>817</v>
      </c>
      <c r="K300">
        <v>0.439</v>
      </c>
      <c r="L300">
        <v>39</v>
      </c>
      <c r="M300">
        <v>146</v>
      </c>
      <c r="N300">
        <v>0.26700000000000002</v>
      </c>
      <c r="O300">
        <v>320</v>
      </c>
      <c r="P300">
        <v>671</v>
      </c>
      <c r="Q300">
        <v>0.47699999999999998</v>
      </c>
      <c r="R300">
        <v>0.46300000000000002</v>
      </c>
      <c r="S300">
        <v>200</v>
      </c>
      <c r="T300">
        <v>227</v>
      </c>
      <c r="U300">
        <v>0.88100000000000001</v>
      </c>
      <c r="V300">
        <v>19</v>
      </c>
      <c r="W300">
        <v>226</v>
      </c>
      <c r="X300">
        <v>245</v>
      </c>
      <c r="Y300">
        <v>373</v>
      </c>
      <c r="Z300">
        <v>75</v>
      </c>
      <c r="AA300">
        <v>13</v>
      </c>
      <c r="AB300">
        <v>191</v>
      </c>
      <c r="AC300">
        <v>143</v>
      </c>
      <c r="AD300">
        <v>957</v>
      </c>
    </row>
    <row r="301" spans="1:30" x14ac:dyDescent="0.3">
      <c r="A301">
        <v>234</v>
      </c>
      <c r="B301" t="s">
        <v>2226</v>
      </c>
      <c r="C301" t="s">
        <v>2004</v>
      </c>
      <c r="D301">
        <v>24</v>
      </c>
      <c r="E301" t="s">
        <v>1968</v>
      </c>
      <c r="F301">
        <v>77</v>
      </c>
      <c r="G301">
        <v>40</v>
      </c>
      <c r="H301">
        <v>2268</v>
      </c>
      <c r="I301">
        <v>432</v>
      </c>
      <c r="J301">
        <v>996</v>
      </c>
      <c r="K301">
        <v>0.434</v>
      </c>
      <c r="L301">
        <v>72</v>
      </c>
      <c r="M301">
        <v>241</v>
      </c>
      <c r="N301">
        <v>0.29899999999999999</v>
      </c>
      <c r="O301">
        <v>360</v>
      </c>
      <c r="P301">
        <v>755</v>
      </c>
      <c r="Q301">
        <v>0.47699999999999998</v>
      </c>
      <c r="R301">
        <v>0.47</v>
      </c>
      <c r="S301">
        <v>181</v>
      </c>
      <c r="T301">
        <v>218</v>
      </c>
      <c r="U301">
        <v>0.83</v>
      </c>
      <c r="V301">
        <v>56</v>
      </c>
      <c r="W301">
        <v>271</v>
      </c>
      <c r="X301">
        <v>327</v>
      </c>
      <c r="Y301">
        <v>462</v>
      </c>
      <c r="Z301">
        <v>62</v>
      </c>
      <c r="AA301">
        <v>9</v>
      </c>
      <c r="AB301">
        <v>186</v>
      </c>
      <c r="AC301">
        <v>167</v>
      </c>
      <c r="AD301">
        <v>1117</v>
      </c>
    </row>
    <row r="302" spans="1:30" x14ac:dyDescent="0.3">
      <c r="A302">
        <v>234</v>
      </c>
      <c r="B302" t="s">
        <v>2226</v>
      </c>
      <c r="C302" t="s">
        <v>2004</v>
      </c>
      <c r="D302">
        <v>24</v>
      </c>
      <c r="E302" t="s">
        <v>1964</v>
      </c>
      <c r="F302">
        <v>50</v>
      </c>
      <c r="G302">
        <v>13</v>
      </c>
      <c r="H302">
        <v>1398</v>
      </c>
      <c r="I302">
        <v>249</v>
      </c>
      <c r="J302">
        <v>576</v>
      </c>
      <c r="K302">
        <v>0.432</v>
      </c>
      <c r="L302">
        <v>44</v>
      </c>
      <c r="M302">
        <v>158</v>
      </c>
      <c r="N302">
        <v>0.27800000000000002</v>
      </c>
      <c r="O302">
        <v>205</v>
      </c>
      <c r="P302">
        <v>418</v>
      </c>
      <c r="Q302">
        <v>0.49</v>
      </c>
      <c r="R302">
        <v>0.47</v>
      </c>
      <c r="S302">
        <v>99</v>
      </c>
      <c r="T302">
        <v>115</v>
      </c>
      <c r="U302">
        <v>0.86099999999999999</v>
      </c>
      <c r="V302">
        <v>28</v>
      </c>
      <c r="W302">
        <v>173</v>
      </c>
      <c r="X302">
        <v>201</v>
      </c>
      <c r="Y302">
        <v>214</v>
      </c>
      <c r="Z302">
        <v>42</v>
      </c>
      <c r="AA302">
        <v>5</v>
      </c>
      <c r="AB302">
        <v>91</v>
      </c>
      <c r="AC302">
        <v>94</v>
      </c>
      <c r="AD302">
        <v>641</v>
      </c>
    </row>
    <row r="303" spans="1:30" x14ac:dyDescent="0.3">
      <c r="A303">
        <v>234</v>
      </c>
      <c r="B303" t="s">
        <v>2226</v>
      </c>
      <c r="C303" t="s">
        <v>2004</v>
      </c>
      <c r="D303">
        <v>24</v>
      </c>
      <c r="E303" t="s">
        <v>1996</v>
      </c>
      <c r="F303">
        <v>27</v>
      </c>
      <c r="G303">
        <v>27</v>
      </c>
      <c r="H303">
        <v>870</v>
      </c>
      <c r="I303">
        <v>183</v>
      </c>
      <c r="J303">
        <v>420</v>
      </c>
      <c r="K303">
        <v>0.436</v>
      </c>
      <c r="L303">
        <v>28</v>
      </c>
      <c r="M303">
        <v>83</v>
      </c>
      <c r="N303">
        <v>0.33700000000000002</v>
      </c>
      <c r="O303">
        <v>155</v>
      </c>
      <c r="P303">
        <v>337</v>
      </c>
      <c r="Q303">
        <v>0.46</v>
      </c>
      <c r="R303">
        <v>0.46899999999999997</v>
      </c>
      <c r="S303">
        <v>82</v>
      </c>
      <c r="T303">
        <v>103</v>
      </c>
      <c r="U303">
        <v>0.79600000000000004</v>
      </c>
      <c r="V303">
        <v>28</v>
      </c>
      <c r="W303">
        <v>98</v>
      </c>
      <c r="X303">
        <v>126</v>
      </c>
      <c r="Y303">
        <v>248</v>
      </c>
      <c r="Z303">
        <v>20</v>
      </c>
      <c r="AA303">
        <v>4</v>
      </c>
      <c r="AB303">
        <v>95</v>
      </c>
      <c r="AC303">
        <v>73</v>
      </c>
      <c r="AD303">
        <v>476</v>
      </c>
    </row>
    <row r="304" spans="1:30" x14ac:dyDescent="0.3">
      <c r="A304">
        <v>235</v>
      </c>
      <c r="B304" t="s">
        <v>2227</v>
      </c>
      <c r="C304" t="s">
        <v>213</v>
      </c>
      <c r="D304">
        <v>29</v>
      </c>
      <c r="E304" t="s">
        <v>1982</v>
      </c>
      <c r="F304">
        <v>16</v>
      </c>
      <c r="G304">
        <v>2</v>
      </c>
      <c r="H304">
        <v>158</v>
      </c>
      <c r="I304">
        <v>12</v>
      </c>
      <c r="J304">
        <v>27</v>
      </c>
      <c r="K304">
        <v>0.44400000000000001</v>
      </c>
      <c r="L304">
        <v>0</v>
      </c>
      <c r="M304">
        <v>0</v>
      </c>
      <c r="O304">
        <v>12</v>
      </c>
      <c r="P304">
        <v>27</v>
      </c>
      <c r="Q304">
        <v>0.44400000000000001</v>
      </c>
      <c r="R304">
        <v>0.44400000000000001</v>
      </c>
      <c r="S304">
        <v>20</v>
      </c>
      <c r="T304">
        <v>23</v>
      </c>
      <c r="U304">
        <v>0.87</v>
      </c>
      <c r="V304">
        <v>18</v>
      </c>
      <c r="W304">
        <v>21</v>
      </c>
      <c r="X304">
        <v>39</v>
      </c>
      <c r="Y304">
        <v>4</v>
      </c>
      <c r="Z304">
        <v>2</v>
      </c>
      <c r="AA304">
        <v>15</v>
      </c>
      <c r="AB304">
        <v>6</v>
      </c>
      <c r="AC304">
        <v>17</v>
      </c>
      <c r="AD304">
        <v>44</v>
      </c>
    </row>
    <row r="305" spans="1:30" x14ac:dyDescent="0.3">
      <c r="A305">
        <v>236</v>
      </c>
      <c r="B305" t="s">
        <v>2228</v>
      </c>
      <c r="C305" t="s">
        <v>1981</v>
      </c>
      <c r="D305">
        <v>30</v>
      </c>
      <c r="E305" t="s">
        <v>1984</v>
      </c>
      <c r="F305">
        <v>69</v>
      </c>
      <c r="G305">
        <v>69</v>
      </c>
      <c r="H305">
        <v>2493</v>
      </c>
      <c r="I305">
        <v>624</v>
      </c>
      <c r="J305">
        <v>1279</v>
      </c>
      <c r="K305">
        <v>0.48799999999999999</v>
      </c>
      <c r="L305">
        <v>120</v>
      </c>
      <c r="M305">
        <v>339</v>
      </c>
      <c r="N305">
        <v>0.35399999999999998</v>
      </c>
      <c r="O305">
        <v>504</v>
      </c>
      <c r="P305">
        <v>940</v>
      </c>
      <c r="Q305">
        <v>0.53600000000000003</v>
      </c>
      <c r="R305">
        <v>0.53500000000000003</v>
      </c>
      <c r="S305">
        <v>375</v>
      </c>
      <c r="T305">
        <v>528</v>
      </c>
      <c r="U305">
        <v>0.71</v>
      </c>
      <c r="V305">
        <v>51</v>
      </c>
      <c r="W305">
        <v>365</v>
      </c>
      <c r="X305">
        <v>416</v>
      </c>
      <c r="Y305">
        <v>511</v>
      </c>
      <c r="Z305">
        <v>109</v>
      </c>
      <c r="AA305">
        <v>49</v>
      </c>
      <c r="AB305">
        <v>272</v>
      </c>
      <c r="AC305">
        <v>135</v>
      </c>
      <c r="AD305">
        <v>1743</v>
      </c>
    </row>
    <row r="306" spans="1:30" x14ac:dyDescent="0.3">
      <c r="A306">
        <v>237</v>
      </c>
      <c r="B306" t="s">
        <v>2229</v>
      </c>
      <c r="C306" t="s">
        <v>213</v>
      </c>
      <c r="D306">
        <v>30</v>
      </c>
      <c r="E306" t="s">
        <v>2036</v>
      </c>
      <c r="F306">
        <v>65</v>
      </c>
      <c r="G306">
        <v>61</v>
      </c>
      <c r="H306">
        <v>1992</v>
      </c>
      <c r="I306">
        <v>486</v>
      </c>
      <c r="J306">
        <v>1010</v>
      </c>
      <c r="K306">
        <v>0.48099999999999998</v>
      </c>
      <c r="L306">
        <v>2</v>
      </c>
      <c r="M306">
        <v>5</v>
      </c>
      <c r="N306">
        <v>0.4</v>
      </c>
      <c r="O306">
        <v>484</v>
      </c>
      <c r="P306">
        <v>1005</v>
      </c>
      <c r="Q306">
        <v>0.48199999999999998</v>
      </c>
      <c r="R306">
        <v>0.48199999999999998</v>
      </c>
      <c r="S306">
        <v>108</v>
      </c>
      <c r="T306">
        <v>165</v>
      </c>
      <c r="U306">
        <v>0.65500000000000003</v>
      </c>
      <c r="V306">
        <v>99</v>
      </c>
      <c r="W306">
        <v>449</v>
      </c>
      <c r="X306">
        <v>548</v>
      </c>
      <c r="Y306">
        <v>113</v>
      </c>
      <c r="Z306">
        <v>47</v>
      </c>
      <c r="AA306">
        <v>84</v>
      </c>
      <c r="AB306">
        <v>68</v>
      </c>
      <c r="AC306">
        <v>139</v>
      </c>
      <c r="AD306">
        <v>1082</v>
      </c>
    </row>
    <row r="307" spans="1:30" x14ac:dyDescent="0.3">
      <c r="A307">
        <v>238</v>
      </c>
      <c r="B307" t="s">
        <v>2230</v>
      </c>
      <c r="C307" t="s">
        <v>1956</v>
      </c>
      <c r="D307">
        <v>24</v>
      </c>
      <c r="E307" t="s">
        <v>1988</v>
      </c>
      <c r="F307">
        <v>50</v>
      </c>
      <c r="G307">
        <v>1</v>
      </c>
      <c r="H307">
        <v>531</v>
      </c>
      <c r="I307">
        <v>75</v>
      </c>
      <c r="J307">
        <v>167</v>
      </c>
      <c r="K307">
        <v>0.44900000000000001</v>
      </c>
      <c r="L307">
        <v>2</v>
      </c>
      <c r="M307">
        <v>15</v>
      </c>
      <c r="N307">
        <v>0.13300000000000001</v>
      </c>
      <c r="O307">
        <v>73</v>
      </c>
      <c r="P307">
        <v>152</v>
      </c>
      <c r="Q307">
        <v>0.48</v>
      </c>
      <c r="R307">
        <v>0.45500000000000002</v>
      </c>
      <c r="S307">
        <v>31</v>
      </c>
      <c r="T307">
        <v>54</v>
      </c>
      <c r="U307">
        <v>0.57399999999999995</v>
      </c>
      <c r="V307">
        <v>47</v>
      </c>
      <c r="W307">
        <v>98</v>
      </c>
      <c r="X307">
        <v>145</v>
      </c>
      <c r="Y307">
        <v>16</v>
      </c>
      <c r="Z307">
        <v>10</v>
      </c>
      <c r="AA307">
        <v>21</v>
      </c>
      <c r="AB307">
        <v>20</v>
      </c>
      <c r="AC307">
        <v>61</v>
      </c>
      <c r="AD307">
        <v>183</v>
      </c>
    </row>
    <row r="308" spans="1:30" x14ac:dyDescent="0.3">
      <c r="A308">
        <v>239</v>
      </c>
      <c r="B308" t="s">
        <v>2231</v>
      </c>
      <c r="C308" t="s">
        <v>1981</v>
      </c>
      <c r="D308">
        <v>34</v>
      </c>
      <c r="E308" t="s">
        <v>1982</v>
      </c>
      <c r="F308">
        <v>74</v>
      </c>
      <c r="G308">
        <v>18</v>
      </c>
      <c r="H308">
        <v>1244</v>
      </c>
      <c r="I308">
        <v>144</v>
      </c>
      <c r="J308">
        <v>324</v>
      </c>
      <c r="K308">
        <v>0.44400000000000001</v>
      </c>
      <c r="L308">
        <v>66</v>
      </c>
      <c r="M308">
        <v>155</v>
      </c>
      <c r="N308">
        <v>0.42599999999999999</v>
      </c>
      <c r="O308">
        <v>78</v>
      </c>
      <c r="P308">
        <v>169</v>
      </c>
      <c r="Q308">
        <v>0.46200000000000002</v>
      </c>
      <c r="R308">
        <v>0.54600000000000004</v>
      </c>
      <c r="S308">
        <v>78</v>
      </c>
      <c r="T308">
        <v>114</v>
      </c>
      <c r="U308">
        <v>0.68400000000000005</v>
      </c>
      <c r="V308">
        <v>25</v>
      </c>
      <c r="W308">
        <v>158</v>
      </c>
      <c r="X308">
        <v>183</v>
      </c>
      <c r="Y308">
        <v>61</v>
      </c>
      <c r="Z308">
        <v>32</v>
      </c>
      <c r="AA308">
        <v>11</v>
      </c>
      <c r="AB308">
        <v>52</v>
      </c>
      <c r="AC308">
        <v>115</v>
      </c>
      <c r="AD308">
        <v>432</v>
      </c>
    </row>
    <row r="309" spans="1:30" x14ac:dyDescent="0.3">
      <c r="A309">
        <v>240</v>
      </c>
      <c r="B309" t="s">
        <v>2232</v>
      </c>
      <c r="C309" t="s">
        <v>1961</v>
      </c>
      <c r="D309">
        <v>23</v>
      </c>
      <c r="E309" t="s">
        <v>1998</v>
      </c>
      <c r="F309">
        <v>24</v>
      </c>
      <c r="G309">
        <v>3</v>
      </c>
      <c r="H309">
        <v>297</v>
      </c>
      <c r="I309">
        <v>49</v>
      </c>
      <c r="J309">
        <v>99</v>
      </c>
      <c r="K309">
        <v>0.495</v>
      </c>
      <c r="L309">
        <v>21</v>
      </c>
      <c r="M309">
        <v>52</v>
      </c>
      <c r="N309">
        <v>0.40400000000000003</v>
      </c>
      <c r="O309">
        <v>28</v>
      </c>
      <c r="P309">
        <v>47</v>
      </c>
      <c r="Q309">
        <v>0.59599999999999997</v>
      </c>
      <c r="R309">
        <v>0.60099999999999998</v>
      </c>
      <c r="S309">
        <v>16</v>
      </c>
      <c r="T309">
        <v>19</v>
      </c>
      <c r="U309">
        <v>0.84199999999999997</v>
      </c>
      <c r="V309">
        <v>2</v>
      </c>
      <c r="W309">
        <v>37</v>
      </c>
      <c r="X309">
        <v>39</v>
      </c>
      <c r="Y309">
        <v>13</v>
      </c>
      <c r="Z309">
        <v>10</v>
      </c>
      <c r="AA309">
        <v>0</v>
      </c>
      <c r="AB309">
        <v>8</v>
      </c>
      <c r="AC309">
        <v>15</v>
      </c>
      <c r="AD309">
        <v>135</v>
      </c>
    </row>
    <row r="310" spans="1:30" x14ac:dyDescent="0.3">
      <c r="A310" t="s">
        <v>1929</v>
      </c>
      <c r="B310" t="s">
        <v>1930</v>
      </c>
      <c r="C310" t="s">
        <v>1931</v>
      </c>
      <c r="D310" t="s">
        <v>198</v>
      </c>
      <c r="E310" t="s">
        <v>1932</v>
      </c>
      <c r="F310" t="s">
        <v>1933</v>
      </c>
      <c r="G310" t="s">
        <v>1934</v>
      </c>
      <c r="H310" t="s">
        <v>1935</v>
      </c>
      <c r="I310" t="s">
        <v>1936</v>
      </c>
      <c r="J310" t="s">
        <v>1937</v>
      </c>
      <c r="K310" t="s">
        <v>1938</v>
      </c>
      <c r="L310" t="s">
        <v>1939</v>
      </c>
      <c r="M310" t="s">
        <v>1940</v>
      </c>
      <c r="N310" t="s">
        <v>1941</v>
      </c>
      <c r="O310" t="s">
        <v>1942</v>
      </c>
      <c r="P310" t="s">
        <v>1943</v>
      </c>
      <c r="Q310" t="s">
        <v>1944</v>
      </c>
      <c r="R310" t="s">
        <v>1945</v>
      </c>
      <c r="S310" t="s">
        <v>1946</v>
      </c>
      <c r="T310" t="s">
        <v>1947</v>
      </c>
      <c r="U310" t="s">
        <v>1948</v>
      </c>
      <c r="V310" t="s">
        <v>1949</v>
      </c>
      <c r="W310" t="s">
        <v>1950</v>
      </c>
      <c r="X310" t="s">
        <v>1951</v>
      </c>
      <c r="Y310" t="s">
        <v>1952</v>
      </c>
      <c r="Z310" t="s">
        <v>1953</v>
      </c>
      <c r="AA310" t="s">
        <v>1954</v>
      </c>
      <c r="AB310" t="s">
        <v>1955</v>
      </c>
      <c r="AC310" t="s">
        <v>1956</v>
      </c>
      <c r="AD310" t="s">
        <v>1957</v>
      </c>
    </row>
    <row r="311" spans="1:30" x14ac:dyDescent="0.3">
      <c r="A311">
        <v>241</v>
      </c>
      <c r="B311" t="s">
        <v>2233</v>
      </c>
      <c r="C311" t="s">
        <v>2004</v>
      </c>
      <c r="D311">
        <v>25</v>
      </c>
      <c r="E311" t="s">
        <v>1996</v>
      </c>
      <c r="F311">
        <v>41</v>
      </c>
      <c r="G311">
        <v>41</v>
      </c>
      <c r="H311">
        <v>1173</v>
      </c>
      <c r="I311">
        <v>218</v>
      </c>
      <c r="J311">
        <v>543</v>
      </c>
      <c r="K311">
        <v>0.40100000000000002</v>
      </c>
      <c r="L311">
        <v>76</v>
      </c>
      <c r="M311">
        <v>211</v>
      </c>
      <c r="N311">
        <v>0.36</v>
      </c>
      <c r="O311">
        <v>142</v>
      </c>
      <c r="P311">
        <v>332</v>
      </c>
      <c r="Q311">
        <v>0.42799999999999999</v>
      </c>
      <c r="R311">
        <v>0.47099999999999997</v>
      </c>
      <c r="S311">
        <v>120</v>
      </c>
      <c r="T311">
        <v>143</v>
      </c>
      <c r="U311">
        <v>0.83899999999999997</v>
      </c>
      <c r="V311">
        <v>21</v>
      </c>
      <c r="W311">
        <v>83</v>
      </c>
      <c r="X311">
        <v>104</v>
      </c>
      <c r="Y311">
        <v>272</v>
      </c>
      <c r="Z311">
        <v>44</v>
      </c>
      <c r="AA311">
        <v>4</v>
      </c>
      <c r="AB311">
        <v>90</v>
      </c>
      <c r="AC311">
        <v>64</v>
      </c>
      <c r="AD311">
        <v>632</v>
      </c>
    </row>
    <row r="312" spans="1:30" x14ac:dyDescent="0.3">
      <c r="A312">
        <v>242</v>
      </c>
      <c r="B312" t="s">
        <v>2234</v>
      </c>
      <c r="C312" t="s">
        <v>1956</v>
      </c>
      <c r="D312">
        <v>27</v>
      </c>
      <c r="E312" t="s">
        <v>1968</v>
      </c>
      <c r="F312">
        <v>75</v>
      </c>
      <c r="G312">
        <v>0</v>
      </c>
      <c r="H312">
        <v>1230</v>
      </c>
      <c r="I312">
        <v>169</v>
      </c>
      <c r="J312">
        <v>379</v>
      </c>
      <c r="K312">
        <v>0.44600000000000001</v>
      </c>
      <c r="L312">
        <v>54</v>
      </c>
      <c r="M312">
        <v>140</v>
      </c>
      <c r="N312">
        <v>0.38600000000000001</v>
      </c>
      <c r="O312">
        <v>115</v>
      </c>
      <c r="P312">
        <v>239</v>
      </c>
      <c r="Q312">
        <v>0.48099999999999998</v>
      </c>
      <c r="R312">
        <v>0.51700000000000002</v>
      </c>
      <c r="S312">
        <v>56</v>
      </c>
      <c r="T312">
        <v>66</v>
      </c>
      <c r="U312">
        <v>0.84799999999999998</v>
      </c>
      <c r="V312">
        <v>93</v>
      </c>
      <c r="W312">
        <v>189</v>
      </c>
      <c r="X312">
        <v>282</v>
      </c>
      <c r="Y312">
        <v>71</v>
      </c>
      <c r="Z312">
        <v>46</v>
      </c>
      <c r="AA312">
        <v>18</v>
      </c>
      <c r="AB312">
        <v>44</v>
      </c>
      <c r="AC312">
        <v>135</v>
      </c>
      <c r="AD312">
        <v>448</v>
      </c>
    </row>
    <row r="313" spans="1:30" x14ac:dyDescent="0.3">
      <c r="A313">
        <v>242</v>
      </c>
      <c r="B313" t="s">
        <v>2234</v>
      </c>
      <c r="C313" t="s">
        <v>1956</v>
      </c>
      <c r="D313">
        <v>27</v>
      </c>
      <c r="E313" t="s">
        <v>1996</v>
      </c>
      <c r="F313">
        <v>46</v>
      </c>
      <c r="G313">
        <v>0</v>
      </c>
      <c r="H313">
        <v>703</v>
      </c>
      <c r="I313">
        <v>91</v>
      </c>
      <c r="J313">
        <v>198</v>
      </c>
      <c r="K313">
        <v>0.46</v>
      </c>
      <c r="L313">
        <v>28</v>
      </c>
      <c r="M313">
        <v>76</v>
      </c>
      <c r="N313">
        <v>0.36799999999999999</v>
      </c>
      <c r="O313">
        <v>63</v>
      </c>
      <c r="P313">
        <v>122</v>
      </c>
      <c r="Q313">
        <v>0.51600000000000001</v>
      </c>
      <c r="R313">
        <v>0.53</v>
      </c>
      <c r="S313">
        <v>31</v>
      </c>
      <c r="T313">
        <v>36</v>
      </c>
      <c r="U313">
        <v>0.86099999999999999</v>
      </c>
      <c r="V313">
        <v>47</v>
      </c>
      <c r="W313">
        <v>95</v>
      </c>
      <c r="X313">
        <v>142</v>
      </c>
      <c r="Y313">
        <v>41</v>
      </c>
      <c r="Z313">
        <v>27</v>
      </c>
      <c r="AA313">
        <v>11</v>
      </c>
      <c r="AB313">
        <v>26</v>
      </c>
      <c r="AC313">
        <v>77</v>
      </c>
      <c r="AD313">
        <v>241</v>
      </c>
    </row>
    <row r="314" spans="1:30" x14ac:dyDescent="0.3">
      <c r="A314">
        <v>242</v>
      </c>
      <c r="B314" t="s">
        <v>2234</v>
      </c>
      <c r="C314" t="s">
        <v>1956</v>
      </c>
      <c r="D314">
        <v>27</v>
      </c>
      <c r="E314" t="s">
        <v>2020</v>
      </c>
      <c r="F314">
        <v>29</v>
      </c>
      <c r="G314">
        <v>0</v>
      </c>
      <c r="H314">
        <v>527</v>
      </c>
      <c r="I314">
        <v>78</v>
      </c>
      <c r="J314">
        <v>181</v>
      </c>
      <c r="K314">
        <v>0.43099999999999999</v>
      </c>
      <c r="L314">
        <v>26</v>
      </c>
      <c r="M314">
        <v>64</v>
      </c>
      <c r="N314">
        <v>0.40600000000000003</v>
      </c>
      <c r="O314">
        <v>52</v>
      </c>
      <c r="P314">
        <v>117</v>
      </c>
      <c r="Q314">
        <v>0.44400000000000001</v>
      </c>
      <c r="R314">
        <v>0.503</v>
      </c>
      <c r="S314">
        <v>25</v>
      </c>
      <c r="T314">
        <v>30</v>
      </c>
      <c r="U314">
        <v>0.83299999999999996</v>
      </c>
      <c r="V314">
        <v>46</v>
      </c>
      <c r="W314">
        <v>94</v>
      </c>
      <c r="X314">
        <v>140</v>
      </c>
      <c r="Y314">
        <v>30</v>
      </c>
      <c r="Z314">
        <v>19</v>
      </c>
      <c r="AA314">
        <v>7</v>
      </c>
      <c r="AB314">
        <v>18</v>
      </c>
      <c r="AC314">
        <v>58</v>
      </c>
      <c r="AD314">
        <v>207</v>
      </c>
    </row>
    <row r="315" spans="1:30" x14ac:dyDescent="0.3">
      <c r="A315">
        <v>243</v>
      </c>
      <c r="B315" t="s">
        <v>2235</v>
      </c>
      <c r="C315" t="s">
        <v>1956</v>
      </c>
      <c r="D315">
        <v>21</v>
      </c>
      <c r="E315" t="s">
        <v>1968</v>
      </c>
      <c r="F315">
        <v>8</v>
      </c>
      <c r="G315">
        <v>0</v>
      </c>
      <c r="H315">
        <v>51</v>
      </c>
      <c r="I315">
        <v>7</v>
      </c>
      <c r="J315">
        <v>26</v>
      </c>
      <c r="K315">
        <v>0.26900000000000002</v>
      </c>
      <c r="L315">
        <v>1</v>
      </c>
      <c r="M315">
        <v>15</v>
      </c>
      <c r="N315">
        <v>6.7000000000000004E-2</v>
      </c>
      <c r="O315">
        <v>6</v>
      </c>
      <c r="P315">
        <v>11</v>
      </c>
      <c r="Q315">
        <v>0.54500000000000004</v>
      </c>
      <c r="R315">
        <v>0.28799999999999998</v>
      </c>
      <c r="S315">
        <v>1</v>
      </c>
      <c r="T315">
        <v>1</v>
      </c>
      <c r="U315">
        <v>1</v>
      </c>
      <c r="V315">
        <v>2</v>
      </c>
      <c r="W315">
        <v>7</v>
      </c>
      <c r="X315">
        <v>9</v>
      </c>
      <c r="Y315">
        <v>3</v>
      </c>
      <c r="Z315">
        <v>2</v>
      </c>
      <c r="AA315">
        <v>2</v>
      </c>
      <c r="AB315">
        <v>3</v>
      </c>
      <c r="AC315">
        <v>11</v>
      </c>
      <c r="AD315">
        <v>16</v>
      </c>
    </row>
    <row r="316" spans="1:30" x14ac:dyDescent="0.3">
      <c r="A316">
        <v>243</v>
      </c>
      <c r="B316" t="s">
        <v>2235</v>
      </c>
      <c r="C316" t="s">
        <v>1956</v>
      </c>
      <c r="D316">
        <v>21</v>
      </c>
      <c r="E316" t="s">
        <v>1964</v>
      </c>
      <c r="F316">
        <v>5</v>
      </c>
      <c r="G316">
        <v>0</v>
      </c>
      <c r="H316">
        <v>25</v>
      </c>
      <c r="I316">
        <v>3</v>
      </c>
      <c r="J316">
        <v>17</v>
      </c>
      <c r="K316">
        <v>0.17599999999999999</v>
      </c>
      <c r="L316">
        <v>1</v>
      </c>
      <c r="M316">
        <v>13</v>
      </c>
      <c r="N316">
        <v>7.6999999999999999E-2</v>
      </c>
      <c r="O316">
        <v>2</v>
      </c>
      <c r="P316">
        <v>4</v>
      </c>
      <c r="Q316">
        <v>0.5</v>
      </c>
      <c r="R316">
        <v>0.20599999999999999</v>
      </c>
      <c r="S316">
        <v>0</v>
      </c>
      <c r="T316">
        <v>0</v>
      </c>
      <c r="V316">
        <v>1</v>
      </c>
      <c r="W316">
        <v>3</v>
      </c>
      <c r="X316">
        <v>4</v>
      </c>
      <c r="Y316">
        <v>1</v>
      </c>
      <c r="Z316">
        <v>0</v>
      </c>
      <c r="AA316">
        <v>2</v>
      </c>
      <c r="AB316">
        <v>2</v>
      </c>
      <c r="AC316">
        <v>7</v>
      </c>
      <c r="AD316">
        <v>7</v>
      </c>
    </row>
    <row r="317" spans="1:30" x14ac:dyDescent="0.3">
      <c r="A317">
        <v>243</v>
      </c>
      <c r="B317" t="s">
        <v>2235</v>
      </c>
      <c r="C317" t="s">
        <v>1956</v>
      </c>
      <c r="D317">
        <v>21</v>
      </c>
      <c r="E317" t="s">
        <v>2030</v>
      </c>
      <c r="F317">
        <v>3</v>
      </c>
      <c r="G317">
        <v>0</v>
      </c>
      <c r="H317">
        <v>26</v>
      </c>
      <c r="I317">
        <v>4</v>
      </c>
      <c r="J317">
        <v>9</v>
      </c>
      <c r="K317">
        <v>0.44400000000000001</v>
      </c>
      <c r="L317">
        <v>0</v>
      </c>
      <c r="M317">
        <v>2</v>
      </c>
      <c r="N317">
        <v>0</v>
      </c>
      <c r="O317">
        <v>4</v>
      </c>
      <c r="P317">
        <v>7</v>
      </c>
      <c r="Q317">
        <v>0.57099999999999995</v>
      </c>
      <c r="R317">
        <v>0.44400000000000001</v>
      </c>
      <c r="S317">
        <v>1</v>
      </c>
      <c r="T317">
        <v>1</v>
      </c>
      <c r="U317">
        <v>1</v>
      </c>
      <c r="V317">
        <v>1</v>
      </c>
      <c r="W317">
        <v>4</v>
      </c>
      <c r="X317">
        <v>5</v>
      </c>
      <c r="Y317">
        <v>2</v>
      </c>
      <c r="Z317">
        <v>2</v>
      </c>
      <c r="AA317">
        <v>0</v>
      </c>
      <c r="AB317">
        <v>1</v>
      </c>
      <c r="AC317">
        <v>4</v>
      </c>
      <c r="AD317">
        <v>9</v>
      </c>
    </row>
    <row r="318" spans="1:30" x14ac:dyDescent="0.3">
      <c r="A318">
        <v>244</v>
      </c>
      <c r="B318" t="s">
        <v>2236</v>
      </c>
      <c r="C318" t="s">
        <v>1956</v>
      </c>
      <c r="D318">
        <v>27</v>
      </c>
      <c r="E318" t="s">
        <v>2068</v>
      </c>
      <c r="F318">
        <v>75</v>
      </c>
      <c r="G318">
        <v>72</v>
      </c>
      <c r="H318">
        <v>1979</v>
      </c>
      <c r="I318">
        <v>298</v>
      </c>
      <c r="J318">
        <v>519</v>
      </c>
      <c r="K318">
        <v>0.57399999999999995</v>
      </c>
      <c r="L318">
        <v>19</v>
      </c>
      <c r="M318">
        <v>46</v>
      </c>
      <c r="N318">
        <v>0.41299999999999998</v>
      </c>
      <c r="O318">
        <v>279</v>
      </c>
      <c r="P318">
        <v>473</v>
      </c>
      <c r="Q318">
        <v>0.59</v>
      </c>
      <c r="R318">
        <v>0.59199999999999997</v>
      </c>
      <c r="S318">
        <v>79</v>
      </c>
      <c r="T318">
        <v>129</v>
      </c>
      <c r="U318">
        <v>0.61199999999999999</v>
      </c>
      <c r="V318">
        <v>159</v>
      </c>
      <c r="W318">
        <v>297</v>
      </c>
      <c r="X318">
        <v>456</v>
      </c>
      <c r="Y318">
        <v>117</v>
      </c>
      <c r="Z318">
        <v>44</v>
      </c>
      <c r="AA318">
        <v>59</v>
      </c>
      <c r="AB318">
        <v>110</v>
      </c>
      <c r="AC318">
        <v>225</v>
      </c>
      <c r="AD318">
        <v>694</v>
      </c>
    </row>
    <row r="319" spans="1:30" x14ac:dyDescent="0.3">
      <c r="A319">
        <v>245</v>
      </c>
      <c r="B319" t="s">
        <v>2237</v>
      </c>
      <c r="C319" t="s">
        <v>1981</v>
      </c>
      <c r="D319">
        <v>24</v>
      </c>
      <c r="E319" t="s">
        <v>1968</v>
      </c>
      <c r="F319">
        <v>29</v>
      </c>
      <c r="G319">
        <v>2</v>
      </c>
      <c r="H319">
        <v>526</v>
      </c>
      <c r="I319">
        <v>62</v>
      </c>
      <c r="J319">
        <v>154</v>
      </c>
      <c r="K319">
        <v>0.40300000000000002</v>
      </c>
      <c r="L319">
        <v>28</v>
      </c>
      <c r="M319">
        <v>95</v>
      </c>
      <c r="N319">
        <v>0.29499999999999998</v>
      </c>
      <c r="O319">
        <v>34</v>
      </c>
      <c r="P319">
        <v>59</v>
      </c>
      <c r="Q319">
        <v>0.57599999999999996</v>
      </c>
      <c r="R319">
        <v>0.49399999999999999</v>
      </c>
      <c r="S319">
        <v>14</v>
      </c>
      <c r="T319">
        <v>16</v>
      </c>
      <c r="U319">
        <v>0.875</v>
      </c>
      <c r="V319">
        <v>8</v>
      </c>
      <c r="W319">
        <v>47</v>
      </c>
      <c r="X319">
        <v>55</v>
      </c>
      <c r="Y319">
        <v>15</v>
      </c>
      <c r="Z319">
        <v>26</v>
      </c>
      <c r="AA319">
        <v>7</v>
      </c>
      <c r="AB319">
        <v>15</v>
      </c>
      <c r="AC319">
        <v>44</v>
      </c>
      <c r="AD319">
        <v>166</v>
      </c>
    </row>
    <row r="320" spans="1:30" x14ac:dyDescent="0.3">
      <c r="A320">
        <v>245</v>
      </c>
      <c r="B320" t="s">
        <v>2237</v>
      </c>
      <c r="C320" t="s">
        <v>1981</v>
      </c>
      <c r="D320">
        <v>24</v>
      </c>
      <c r="E320" t="s">
        <v>1974</v>
      </c>
      <c r="F320">
        <v>9</v>
      </c>
      <c r="G320">
        <v>2</v>
      </c>
      <c r="H320">
        <v>187</v>
      </c>
      <c r="I320">
        <v>19</v>
      </c>
      <c r="J320">
        <v>60</v>
      </c>
      <c r="K320">
        <v>0.317</v>
      </c>
      <c r="L320">
        <v>10</v>
      </c>
      <c r="M320">
        <v>39</v>
      </c>
      <c r="N320">
        <v>0.25600000000000001</v>
      </c>
      <c r="O320">
        <v>9</v>
      </c>
      <c r="P320">
        <v>21</v>
      </c>
      <c r="Q320">
        <v>0.42899999999999999</v>
      </c>
      <c r="R320">
        <v>0.4</v>
      </c>
      <c r="S320">
        <v>6</v>
      </c>
      <c r="T320">
        <v>8</v>
      </c>
      <c r="U320">
        <v>0.75</v>
      </c>
      <c r="V320">
        <v>3</v>
      </c>
      <c r="W320">
        <v>23</v>
      </c>
      <c r="X320">
        <v>26</v>
      </c>
      <c r="Y320">
        <v>3</v>
      </c>
      <c r="Z320">
        <v>9</v>
      </c>
      <c r="AA320">
        <v>5</v>
      </c>
      <c r="AB320">
        <v>9</v>
      </c>
      <c r="AC320">
        <v>19</v>
      </c>
      <c r="AD320">
        <v>54</v>
      </c>
    </row>
    <row r="321" spans="1:30" x14ac:dyDescent="0.3">
      <c r="A321">
        <v>245</v>
      </c>
      <c r="B321" t="s">
        <v>2237</v>
      </c>
      <c r="C321" t="s">
        <v>1981</v>
      </c>
      <c r="D321">
        <v>24</v>
      </c>
      <c r="E321" t="s">
        <v>2030</v>
      </c>
      <c r="F321">
        <v>12</v>
      </c>
      <c r="G321">
        <v>0</v>
      </c>
      <c r="H321">
        <v>211</v>
      </c>
      <c r="I321">
        <v>31</v>
      </c>
      <c r="J321">
        <v>64</v>
      </c>
      <c r="K321">
        <v>0.48399999999999999</v>
      </c>
      <c r="L321">
        <v>13</v>
      </c>
      <c r="M321">
        <v>38</v>
      </c>
      <c r="N321">
        <v>0.34200000000000003</v>
      </c>
      <c r="O321">
        <v>18</v>
      </c>
      <c r="P321">
        <v>26</v>
      </c>
      <c r="Q321">
        <v>0.69199999999999995</v>
      </c>
      <c r="R321">
        <v>0.58599999999999997</v>
      </c>
      <c r="S321">
        <v>6</v>
      </c>
      <c r="T321">
        <v>6</v>
      </c>
      <c r="U321">
        <v>1</v>
      </c>
      <c r="V321">
        <v>3</v>
      </c>
      <c r="W321">
        <v>15</v>
      </c>
      <c r="X321">
        <v>18</v>
      </c>
      <c r="Y321">
        <v>7</v>
      </c>
      <c r="Z321">
        <v>12</v>
      </c>
      <c r="AA321">
        <v>0</v>
      </c>
      <c r="AB321">
        <v>6</v>
      </c>
      <c r="AC321">
        <v>18</v>
      </c>
      <c r="AD321">
        <v>81</v>
      </c>
    </row>
    <row r="322" spans="1:30" x14ac:dyDescent="0.3">
      <c r="A322">
        <v>245</v>
      </c>
      <c r="B322" t="s">
        <v>2237</v>
      </c>
      <c r="C322" t="s">
        <v>1981</v>
      </c>
      <c r="D322">
        <v>24</v>
      </c>
      <c r="E322" t="s">
        <v>1993</v>
      </c>
      <c r="F322">
        <v>8</v>
      </c>
      <c r="G322">
        <v>0</v>
      </c>
      <c r="H322">
        <v>128</v>
      </c>
      <c r="I322">
        <v>12</v>
      </c>
      <c r="J322">
        <v>30</v>
      </c>
      <c r="K322">
        <v>0.4</v>
      </c>
      <c r="L322">
        <v>5</v>
      </c>
      <c r="M322">
        <v>18</v>
      </c>
      <c r="N322">
        <v>0.27800000000000002</v>
      </c>
      <c r="O322">
        <v>7</v>
      </c>
      <c r="P322">
        <v>12</v>
      </c>
      <c r="Q322">
        <v>0.58299999999999996</v>
      </c>
      <c r="R322">
        <v>0.48299999999999998</v>
      </c>
      <c r="S322">
        <v>2</v>
      </c>
      <c r="T322">
        <v>2</v>
      </c>
      <c r="U322">
        <v>1</v>
      </c>
      <c r="V322">
        <v>2</v>
      </c>
      <c r="W322">
        <v>9</v>
      </c>
      <c r="X322">
        <v>11</v>
      </c>
      <c r="Y322">
        <v>5</v>
      </c>
      <c r="Z322">
        <v>5</v>
      </c>
      <c r="AA322">
        <v>2</v>
      </c>
      <c r="AB322">
        <v>0</v>
      </c>
      <c r="AC322">
        <v>7</v>
      </c>
      <c r="AD322">
        <v>31</v>
      </c>
    </row>
    <row r="323" spans="1:30" x14ac:dyDescent="0.3">
      <c r="A323">
        <v>246</v>
      </c>
      <c r="B323" t="s">
        <v>2238</v>
      </c>
      <c r="C323" t="s">
        <v>1956</v>
      </c>
      <c r="D323">
        <v>27</v>
      </c>
      <c r="E323" t="s">
        <v>2068</v>
      </c>
      <c r="F323">
        <v>70</v>
      </c>
      <c r="G323">
        <v>17</v>
      </c>
      <c r="H323">
        <v>1370</v>
      </c>
      <c r="I323">
        <v>238</v>
      </c>
      <c r="J323">
        <v>404</v>
      </c>
      <c r="K323">
        <v>0.58899999999999997</v>
      </c>
      <c r="L323">
        <v>11</v>
      </c>
      <c r="M323">
        <v>51</v>
      </c>
      <c r="N323">
        <v>0.216</v>
      </c>
      <c r="O323">
        <v>227</v>
      </c>
      <c r="P323">
        <v>353</v>
      </c>
      <c r="Q323">
        <v>0.64300000000000002</v>
      </c>
      <c r="R323">
        <v>0.60299999999999998</v>
      </c>
      <c r="S323">
        <v>67</v>
      </c>
      <c r="T323">
        <v>102</v>
      </c>
      <c r="U323">
        <v>0.65700000000000003</v>
      </c>
      <c r="V323">
        <v>61</v>
      </c>
      <c r="W323">
        <v>196</v>
      </c>
      <c r="X323">
        <v>257</v>
      </c>
      <c r="Y323">
        <v>95</v>
      </c>
      <c r="Z323">
        <v>54</v>
      </c>
      <c r="AA323">
        <v>70</v>
      </c>
      <c r="AB323">
        <v>79</v>
      </c>
      <c r="AC323">
        <v>155</v>
      </c>
      <c r="AD323">
        <v>554</v>
      </c>
    </row>
    <row r="324" spans="1:30" x14ac:dyDescent="0.3">
      <c r="A324">
        <v>247</v>
      </c>
      <c r="B324" t="s">
        <v>2239</v>
      </c>
      <c r="C324" t="s">
        <v>1961</v>
      </c>
      <c r="D324">
        <v>33</v>
      </c>
      <c r="E324" t="s">
        <v>1988</v>
      </c>
      <c r="F324">
        <v>80</v>
      </c>
      <c r="G324">
        <v>80</v>
      </c>
      <c r="H324">
        <v>2791</v>
      </c>
      <c r="I324">
        <v>446</v>
      </c>
      <c r="J324">
        <v>1025</v>
      </c>
      <c r="K324">
        <v>0.435</v>
      </c>
      <c r="L324">
        <v>121</v>
      </c>
      <c r="M324">
        <v>337</v>
      </c>
      <c r="N324">
        <v>0.35899999999999999</v>
      </c>
      <c r="O324">
        <v>325</v>
      </c>
      <c r="P324">
        <v>688</v>
      </c>
      <c r="Q324">
        <v>0.47199999999999998</v>
      </c>
      <c r="R324">
        <v>0.49399999999999999</v>
      </c>
      <c r="S324">
        <v>141</v>
      </c>
      <c r="T324">
        <v>176</v>
      </c>
      <c r="U324">
        <v>0.80100000000000005</v>
      </c>
      <c r="V324">
        <v>53</v>
      </c>
      <c r="W324">
        <v>331</v>
      </c>
      <c r="X324">
        <v>384</v>
      </c>
      <c r="Y324">
        <v>292</v>
      </c>
      <c r="Z324">
        <v>59</v>
      </c>
      <c r="AA324">
        <v>14</v>
      </c>
      <c r="AB324">
        <v>137</v>
      </c>
      <c r="AC324">
        <v>120</v>
      </c>
      <c r="AD324">
        <v>1154</v>
      </c>
    </row>
    <row r="325" spans="1:30" x14ac:dyDescent="0.3">
      <c r="A325">
        <v>248</v>
      </c>
      <c r="B325" t="s">
        <v>2240</v>
      </c>
      <c r="C325" t="s">
        <v>1961</v>
      </c>
      <c r="D325">
        <v>22</v>
      </c>
      <c r="E325" t="s">
        <v>2000</v>
      </c>
      <c r="F325">
        <v>28</v>
      </c>
      <c r="G325">
        <v>0</v>
      </c>
      <c r="H325">
        <v>262</v>
      </c>
      <c r="I325">
        <v>26</v>
      </c>
      <c r="J325">
        <v>75</v>
      </c>
      <c r="K325">
        <v>0.34699999999999998</v>
      </c>
      <c r="L325">
        <v>5</v>
      </c>
      <c r="M325">
        <v>21</v>
      </c>
      <c r="N325">
        <v>0.23799999999999999</v>
      </c>
      <c r="O325">
        <v>21</v>
      </c>
      <c r="P325">
        <v>54</v>
      </c>
      <c r="Q325">
        <v>0.38900000000000001</v>
      </c>
      <c r="R325">
        <v>0.38</v>
      </c>
      <c r="S325">
        <v>17</v>
      </c>
      <c r="T325">
        <v>25</v>
      </c>
      <c r="U325">
        <v>0.68</v>
      </c>
      <c r="V325">
        <v>13</v>
      </c>
      <c r="W325">
        <v>26</v>
      </c>
      <c r="X325">
        <v>39</v>
      </c>
      <c r="Y325">
        <v>11</v>
      </c>
      <c r="Z325">
        <v>7</v>
      </c>
      <c r="AA325">
        <v>3</v>
      </c>
      <c r="AB325">
        <v>19</v>
      </c>
      <c r="AC325">
        <v>34</v>
      </c>
      <c r="AD325">
        <v>74</v>
      </c>
    </row>
    <row r="326" spans="1:30" x14ac:dyDescent="0.3">
      <c r="A326">
        <v>249</v>
      </c>
      <c r="B326" t="s">
        <v>2241</v>
      </c>
      <c r="C326" t="s">
        <v>1961</v>
      </c>
      <c r="D326">
        <v>22</v>
      </c>
      <c r="E326" t="s">
        <v>1986</v>
      </c>
      <c r="F326">
        <v>32</v>
      </c>
      <c r="G326">
        <v>2</v>
      </c>
      <c r="H326">
        <v>603</v>
      </c>
      <c r="I326">
        <v>70</v>
      </c>
      <c r="J326">
        <v>167</v>
      </c>
      <c r="K326">
        <v>0.41899999999999998</v>
      </c>
      <c r="L326">
        <v>18</v>
      </c>
      <c r="M326">
        <v>48</v>
      </c>
      <c r="N326">
        <v>0.375</v>
      </c>
      <c r="O326">
        <v>52</v>
      </c>
      <c r="P326">
        <v>119</v>
      </c>
      <c r="Q326">
        <v>0.437</v>
      </c>
      <c r="R326">
        <v>0.47299999999999998</v>
      </c>
      <c r="S326">
        <v>32</v>
      </c>
      <c r="T326">
        <v>47</v>
      </c>
      <c r="U326">
        <v>0.68100000000000005</v>
      </c>
      <c r="V326">
        <v>14</v>
      </c>
      <c r="W326">
        <v>67</v>
      </c>
      <c r="X326">
        <v>81</v>
      </c>
      <c r="Y326">
        <v>42</v>
      </c>
      <c r="Z326">
        <v>33</v>
      </c>
      <c r="AA326">
        <v>9</v>
      </c>
      <c r="AB326">
        <v>30</v>
      </c>
      <c r="AC326">
        <v>42</v>
      </c>
      <c r="AD326">
        <v>190</v>
      </c>
    </row>
    <row r="327" spans="1:30" x14ac:dyDescent="0.3">
      <c r="A327">
        <v>250</v>
      </c>
      <c r="B327" t="s">
        <v>2242</v>
      </c>
      <c r="C327" t="s">
        <v>1981</v>
      </c>
      <c r="D327">
        <v>27</v>
      </c>
      <c r="E327" t="s">
        <v>2038</v>
      </c>
      <c r="F327">
        <v>76</v>
      </c>
      <c r="G327">
        <v>59</v>
      </c>
      <c r="H327">
        <v>2245</v>
      </c>
      <c r="I327">
        <v>286</v>
      </c>
      <c r="J327">
        <v>691</v>
      </c>
      <c r="K327">
        <v>0.41399999999999998</v>
      </c>
      <c r="L327">
        <v>91</v>
      </c>
      <c r="M327">
        <v>259</v>
      </c>
      <c r="N327">
        <v>0.35099999999999998</v>
      </c>
      <c r="O327">
        <v>195</v>
      </c>
      <c r="P327">
        <v>432</v>
      </c>
      <c r="Q327">
        <v>0.45100000000000001</v>
      </c>
      <c r="R327">
        <v>0.48</v>
      </c>
      <c r="S327">
        <v>90</v>
      </c>
      <c r="T327">
        <v>112</v>
      </c>
      <c r="U327">
        <v>0.80400000000000005</v>
      </c>
      <c r="V327">
        <v>67</v>
      </c>
      <c r="W327">
        <v>252</v>
      </c>
      <c r="X327">
        <v>319</v>
      </c>
      <c r="Y327">
        <v>124</v>
      </c>
      <c r="Z327">
        <v>59</v>
      </c>
      <c r="AA327">
        <v>45</v>
      </c>
      <c r="AB327">
        <v>87</v>
      </c>
      <c r="AC327">
        <v>162</v>
      </c>
      <c r="AD327">
        <v>753</v>
      </c>
    </row>
    <row r="328" spans="1:30" x14ac:dyDescent="0.3">
      <c r="A328">
        <v>251</v>
      </c>
      <c r="B328" t="s">
        <v>2243</v>
      </c>
      <c r="C328" t="s">
        <v>1981</v>
      </c>
      <c r="D328">
        <v>34</v>
      </c>
      <c r="E328" t="s">
        <v>2015</v>
      </c>
      <c r="F328">
        <v>33</v>
      </c>
      <c r="G328">
        <v>0</v>
      </c>
      <c r="H328">
        <v>123</v>
      </c>
      <c r="I328">
        <v>6</v>
      </c>
      <c r="J328">
        <v>21</v>
      </c>
      <c r="K328">
        <v>0.28599999999999998</v>
      </c>
      <c r="L328">
        <v>0</v>
      </c>
      <c r="M328">
        <v>4</v>
      </c>
      <c r="N328">
        <v>0</v>
      </c>
      <c r="O328">
        <v>6</v>
      </c>
      <c r="P328">
        <v>17</v>
      </c>
      <c r="Q328">
        <v>0.35299999999999998</v>
      </c>
      <c r="R328">
        <v>0.28599999999999998</v>
      </c>
      <c r="S328">
        <v>9</v>
      </c>
      <c r="T328">
        <v>11</v>
      </c>
      <c r="U328">
        <v>0.81799999999999995</v>
      </c>
      <c r="V328">
        <v>1</v>
      </c>
      <c r="W328">
        <v>10</v>
      </c>
      <c r="X328">
        <v>11</v>
      </c>
      <c r="Y328">
        <v>2</v>
      </c>
      <c r="Z328">
        <v>3</v>
      </c>
      <c r="AA328">
        <v>0</v>
      </c>
      <c r="AB328">
        <v>1</v>
      </c>
      <c r="AC328">
        <v>23</v>
      </c>
      <c r="AD328">
        <v>21</v>
      </c>
    </row>
    <row r="329" spans="1:30" x14ac:dyDescent="0.3">
      <c r="A329">
        <v>252</v>
      </c>
      <c r="B329" t="s">
        <v>2244</v>
      </c>
      <c r="C329" t="s">
        <v>1981</v>
      </c>
      <c r="D329">
        <v>34</v>
      </c>
      <c r="E329" t="s">
        <v>1984</v>
      </c>
      <c r="F329">
        <v>57</v>
      </c>
      <c r="G329">
        <v>2</v>
      </c>
      <c r="H329">
        <v>669</v>
      </c>
      <c r="I329">
        <v>74</v>
      </c>
      <c r="J329">
        <v>201</v>
      </c>
      <c r="K329">
        <v>0.36799999999999999</v>
      </c>
      <c r="L329">
        <v>63</v>
      </c>
      <c r="M329">
        <v>175</v>
      </c>
      <c r="N329">
        <v>0.36</v>
      </c>
      <c r="O329">
        <v>11</v>
      </c>
      <c r="P329">
        <v>26</v>
      </c>
      <c r="Q329">
        <v>0.42299999999999999</v>
      </c>
      <c r="R329">
        <v>0.52500000000000002</v>
      </c>
      <c r="S329">
        <v>39</v>
      </c>
      <c r="T329">
        <v>46</v>
      </c>
      <c r="U329">
        <v>0.84799999999999998</v>
      </c>
      <c r="V329">
        <v>9</v>
      </c>
      <c r="W329">
        <v>53</v>
      </c>
      <c r="X329">
        <v>62</v>
      </c>
      <c r="Y329">
        <v>24</v>
      </c>
      <c r="Z329">
        <v>13</v>
      </c>
      <c r="AA329">
        <v>8</v>
      </c>
      <c r="AB329">
        <v>13</v>
      </c>
      <c r="AC329">
        <v>67</v>
      </c>
      <c r="AD329">
        <v>250</v>
      </c>
    </row>
    <row r="330" spans="1:30" x14ac:dyDescent="0.3">
      <c r="A330">
        <v>253</v>
      </c>
      <c r="B330" t="s">
        <v>2245</v>
      </c>
      <c r="C330" t="s">
        <v>1981</v>
      </c>
      <c r="D330">
        <v>23</v>
      </c>
      <c r="E330" t="s">
        <v>1964</v>
      </c>
      <c r="F330">
        <v>43</v>
      </c>
      <c r="G330">
        <v>13</v>
      </c>
      <c r="H330">
        <v>631</v>
      </c>
      <c r="I330">
        <v>73</v>
      </c>
      <c r="J330">
        <v>184</v>
      </c>
      <c r="K330">
        <v>0.39700000000000002</v>
      </c>
      <c r="L330">
        <v>14</v>
      </c>
      <c r="M330">
        <v>60</v>
      </c>
      <c r="N330">
        <v>0.23300000000000001</v>
      </c>
      <c r="O330">
        <v>59</v>
      </c>
      <c r="P330">
        <v>124</v>
      </c>
      <c r="Q330">
        <v>0.47599999999999998</v>
      </c>
      <c r="R330">
        <v>0.435</v>
      </c>
      <c r="S330">
        <v>24</v>
      </c>
      <c r="T330">
        <v>37</v>
      </c>
      <c r="U330">
        <v>0.64900000000000002</v>
      </c>
      <c r="V330">
        <v>6</v>
      </c>
      <c r="W330">
        <v>70</v>
      </c>
      <c r="X330">
        <v>76</v>
      </c>
      <c r="Y330">
        <v>18</v>
      </c>
      <c r="Z330">
        <v>17</v>
      </c>
      <c r="AA330">
        <v>8</v>
      </c>
      <c r="AB330">
        <v>24</v>
      </c>
      <c r="AC330">
        <v>50</v>
      </c>
      <c r="AD330">
        <v>184</v>
      </c>
    </row>
    <row r="331" spans="1:30" x14ac:dyDescent="0.3">
      <c r="A331">
        <v>254</v>
      </c>
      <c r="B331" t="s">
        <v>2246</v>
      </c>
      <c r="C331" t="s">
        <v>1956</v>
      </c>
      <c r="D331">
        <v>23</v>
      </c>
      <c r="E331" t="s">
        <v>2000</v>
      </c>
      <c r="F331">
        <v>33</v>
      </c>
      <c r="G331">
        <v>24</v>
      </c>
      <c r="H331">
        <v>889</v>
      </c>
      <c r="I331">
        <v>158</v>
      </c>
      <c r="J331">
        <v>299</v>
      </c>
      <c r="K331">
        <v>0.52800000000000002</v>
      </c>
      <c r="L331">
        <v>13</v>
      </c>
      <c r="M331">
        <v>37</v>
      </c>
      <c r="N331">
        <v>0.35099999999999998</v>
      </c>
      <c r="O331">
        <v>145</v>
      </c>
      <c r="P331">
        <v>262</v>
      </c>
      <c r="Q331">
        <v>0.55300000000000005</v>
      </c>
      <c r="R331">
        <v>0.55000000000000004</v>
      </c>
      <c r="S331">
        <v>57</v>
      </c>
      <c r="T331">
        <v>94</v>
      </c>
      <c r="U331">
        <v>0.60599999999999998</v>
      </c>
      <c r="V331">
        <v>78</v>
      </c>
      <c r="W331">
        <v>142</v>
      </c>
      <c r="X331">
        <v>220</v>
      </c>
      <c r="Y331">
        <v>36</v>
      </c>
      <c r="Z331">
        <v>18</v>
      </c>
      <c r="AA331">
        <v>59</v>
      </c>
      <c r="AB331">
        <v>37</v>
      </c>
      <c r="AC331">
        <v>78</v>
      </c>
      <c r="AD331">
        <v>386</v>
      </c>
    </row>
    <row r="332" spans="1:30" x14ac:dyDescent="0.3">
      <c r="A332">
        <v>255</v>
      </c>
      <c r="B332" t="s">
        <v>2247</v>
      </c>
      <c r="C332" t="s">
        <v>213</v>
      </c>
      <c r="D332">
        <v>26</v>
      </c>
      <c r="E332" t="s">
        <v>2015</v>
      </c>
      <c r="F332">
        <v>82</v>
      </c>
      <c r="G332">
        <v>82</v>
      </c>
      <c r="H332">
        <v>2820</v>
      </c>
      <c r="I332">
        <v>379</v>
      </c>
      <c r="J332">
        <v>534</v>
      </c>
      <c r="K332">
        <v>0.71</v>
      </c>
      <c r="L332">
        <v>1</v>
      </c>
      <c r="M332">
        <v>4</v>
      </c>
      <c r="N332">
        <v>0.25</v>
      </c>
      <c r="O332">
        <v>378</v>
      </c>
      <c r="P332">
        <v>530</v>
      </c>
      <c r="Q332">
        <v>0.71299999999999997</v>
      </c>
      <c r="R332">
        <v>0.71099999999999997</v>
      </c>
      <c r="S332">
        <v>187</v>
      </c>
      <c r="T332">
        <v>471</v>
      </c>
      <c r="U332">
        <v>0.39700000000000002</v>
      </c>
      <c r="V332">
        <v>397</v>
      </c>
      <c r="W332">
        <v>829</v>
      </c>
      <c r="X332">
        <v>1226</v>
      </c>
      <c r="Y332">
        <v>61</v>
      </c>
      <c r="Z332">
        <v>81</v>
      </c>
      <c r="AA332">
        <v>183</v>
      </c>
      <c r="AB332">
        <v>109</v>
      </c>
      <c r="AC332">
        <v>245</v>
      </c>
      <c r="AD332">
        <v>946</v>
      </c>
    </row>
    <row r="333" spans="1:30" x14ac:dyDescent="0.3">
      <c r="A333">
        <v>256</v>
      </c>
      <c r="B333" t="s">
        <v>2248</v>
      </c>
      <c r="C333" t="s">
        <v>213</v>
      </c>
      <c r="D333">
        <v>28</v>
      </c>
      <c r="E333" t="s">
        <v>1988</v>
      </c>
      <c r="F333">
        <v>44</v>
      </c>
      <c r="G333">
        <v>0</v>
      </c>
      <c r="H333">
        <v>383</v>
      </c>
      <c r="I333">
        <v>50</v>
      </c>
      <c r="J333">
        <v>94</v>
      </c>
      <c r="K333">
        <v>0.53200000000000003</v>
      </c>
      <c r="L333">
        <v>0</v>
      </c>
      <c r="M333">
        <v>0</v>
      </c>
      <c r="O333">
        <v>50</v>
      </c>
      <c r="P333">
        <v>94</v>
      </c>
      <c r="Q333">
        <v>0.53200000000000003</v>
      </c>
      <c r="R333">
        <v>0.53200000000000003</v>
      </c>
      <c r="S333">
        <v>38</v>
      </c>
      <c r="T333">
        <v>44</v>
      </c>
      <c r="U333">
        <v>0.86399999999999999</v>
      </c>
      <c r="V333">
        <v>52</v>
      </c>
      <c r="W333">
        <v>53</v>
      </c>
      <c r="X333">
        <v>105</v>
      </c>
      <c r="Y333">
        <v>13</v>
      </c>
      <c r="Z333">
        <v>8</v>
      </c>
      <c r="AA333">
        <v>15</v>
      </c>
      <c r="AB333">
        <v>22</v>
      </c>
      <c r="AC333">
        <v>58</v>
      </c>
      <c r="AD333">
        <v>138</v>
      </c>
    </row>
    <row r="334" spans="1:30" x14ac:dyDescent="0.3">
      <c r="A334">
        <v>257</v>
      </c>
      <c r="B334" t="s">
        <v>2249</v>
      </c>
      <c r="C334" t="s">
        <v>2004</v>
      </c>
      <c r="D334">
        <v>23</v>
      </c>
      <c r="E334" t="s">
        <v>1990</v>
      </c>
      <c r="F334">
        <v>79</v>
      </c>
      <c r="G334">
        <v>14</v>
      </c>
      <c r="H334">
        <v>1444</v>
      </c>
      <c r="I334">
        <v>207</v>
      </c>
      <c r="J334">
        <v>411</v>
      </c>
      <c r="K334">
        <v>0.504</v>
      </c>
      <c r="L334">
        <v>16</v>
      </c>
      <c r="M334">
        <v>44</v>
      </c>
      <c r="N334">
        <v>0.36399999999999999</v>
      </c>
      <c r="O334">
        <v>191</v>
      </c>
      <c r="P334">
        <v>367</v>
      </c>
      <c r="Q334">
        <v>0.52</v>
      </c>
      <c r="R334">
        <v>0.52300000000000002</v>
      </c>
      <c r="S334">
        <v>105</v>
      </c>
      <c r="T334">
        <v>143</v>
      </c>
      <c r="U334">
        <v>0.73399999999999999</v>
      </c>
      <c r="V334">
        <v>44</v>
      </c>
      <c r="W334">
        <v>148</v>
      </c>
      <c r="X334">
        <v>192</v>
      </c>
      <c r="Y334">
        <v>188</v>
      </c>
      <c r="Z334">
        <v>46</v>
      </c>
      <c r="AA334">
        <v>17</v>
      </c>
      <c r="AB334">
        <v>67</v>
      </c>
      <c r="AC334">
        <v>105</v>
      </c>
      <c r="AD334">
        <v>535</v>
      </c>
    </row>
    <row r="335" spans="1:30" x14ac:dyDescent="0.3">
      <c r="A335">
        <v>258</v>
      </c>
      <c r="B335" t="s">
        <v>2250</v>
      </c>
      <c r="C335" t="s">
        <v>213</v>
      </c>
      <c r="D335">
        <v>32</v>
      </c>
      <c r="E335" t="s">
        <v>1970</v>
      </c>
      <c r="F335">
        <v>74</v>
      </c>
      <c r="G335">
        <v>13</v>
      </c>
      <c r="H335">
        <v>1398</v>
      </c>
      <c r="I335">
        <v>283</v>
      </c>
      <c r="J335">
        <v>549</v>
      </c>
      <c r="K335">
        <v>0.51500000000000001</v>
      </c>
      <c r="L335">
        <v>0</v>
      </c>
      <c r="M335">
        <v>0</v>
      </c>
      <c r="O335">
        <v>283</v>
      </c>
      <c r="P335">
        <v>549</v>
      </c>
      <c r="Q335">
        <v>0.51500000000000001</v>
      </c>
      <c r="R335">
        <v>0.51500000000000001</v>
      </c>
      <c r="S335">
        <v>72</v>
      </c>
      <c r="T335">
        <v>102</v>
      </c>
      <c r="U335">
        <v>0.70599999999999996</v>
      </c>
      <c r="V335">
        <v>149</v>
      </c>
      <c r="W335">
        <v>335</v>
      </c>
      <c r="X335">
        <v>484</v>
      </c>
      <c r="Y335">
        <v>65</v>
      </c>
      <c r="Z335">
        <v>18</v>
      </c>
      <c r="AA335">
        <v>54</v>
      </c>
      <c r="AB335">
        <v>108</v>
      </c>
      <c r="AC335">
        <v>140</v>
      </c>
      <c r="AD335">
        <v>638</v>
      </c>
    </row>
    <row r="336" spans="1:30" x14ac:dyDescent="0.3">
      <c r="A336">
        <v>259</v>
      </c>
      <c r="B336" t="s">
        <v>2251</v>
      </c>
      <c r="C336" t="s">
        <v>1961</v>
      </c>
      <c r="D336">
        <v>21</v>
      </c>
      <c r="E336" t="s">
        <v>1988</v>
      </c>
      <c r="F336">
        <v>33</v>
      </c>
      <c r="G336">
        <v>16</v>
      </c>
      <c r="H336">
        <v>555</v>
      </c>
      <c r="I336">
        <v>54</v>
      </c>
      <c r="J336">
        <v>134</v>
      </c>
      <c r="K336">
        <v>0.40300000000000002</v>
      </c>
      <c r="L336">
        <v>16</v>
      </c>
      <c r="M336">
        <v>54</v>
      </c>
      <c r="N336">
        <v>0.29599999999999999</v>
      </c>
      <c r="O336">
        <v>38</v>
      </c>
      <c r="P336">
        <v>80</v>
      </c>
      <c r="Q336">
        <v>0.47499999999999998</v>
      </c>
      <c r="R336">
        <v>0.46300000000000002</v>
      </c>
      <c r="S336">
        <v>29</v>
      </c>
      <c r="T336">
        <v>38</v>
      </c>
      <c r="U336">
        <v>0.76300000000000001</v>
      </c>
      <c r="V336">
        <v>22</v>
      </c>
      <c r="W336">
        <v>44</v>
      </c>
      <c r="X336">
        <v>66</v>
      </c>
      <c r="Y336">
        <v>46</v>
      </c>
      <c r="Z336">
        <v>23</v>
      </c>
      <c r="AA336">
        <v>1</v>
      </c>
      <c r="AB336">
        <v>24</v>
      </c>
      <c r="AC336">
        <v>45</v>
      </c>
      <c r="AD336">
        <v>153</v>
      </c>
    </row>
    <row r="337" spans="1:30" x14ac:dyDescent="0.3">
      <c r="A337">
        <v>260</v>
      </c>
      <c r="B337" t="s">
        <v>2252</v>
      </c>
      <c r="C337" t="s">
        <v>1956</v>
      </c>
      <c r="D337">
        <v>23</v>
      </c>
      <c r="E337" t="s">
        <v>2038</v>
      </c>
      <c r="F337">
        <v>52</v>
      </c>
      <c r="G337">
        <v>34</v>
      </c>
      <c r="H337">
        <v>1233</v>
      </c>
      <c r="I337">
        <v>104</v>
      </c>
      <c r="J337">
        <v>309</v>
      </c>
      <c r="K337">
        <v>0.33700000000000002</v>
      </c>
      <c r="L337">
        <v>45</v>
      </c>
      <c r="M337">
        <v>134</v>
      </c>
      <c r="N337">
        <v>0.33600000000000002</v>
      </c>
      <c r="O337">
        <v>59</v>
      </c>
      <c r="P337">
        <v>175</v>
      </c>
      <c r="Q337">
        <v>0.33700000000000002</v>
      </c>
      <c r="R337">
        <v>0.40899999999999997</v>
      </c>
      <c r="S337">
        <v>79</v>
      </c>
      <c r="T337">
        <v>95</v>
      </c>
      <c r="U337">
        <v>0.83199999999999996</v>
      </c>
      <c r="V337">
        <v>13</v>
      </c>
      <c r="W337">
        <v>133</v>
      </c>
      <c r="X337">
        <v>146</v>
      </c>
      <c r="Y337">
        <v>92</v>
      </c>
      <c r="Z337">
        <v>30</v>
      </c>
      <c r="AA337">
        <v>24</v>
      </c>
      <c r="AB337">
        <v>37</v>
      </c>
      <c r="AC337">
        <v>118</v>
      </c>
      <c r="AD337">
        <v>332</v>
      </c>
    </row>
    <row r="338" spans="1:30" x14ac:dyDescent="0.3">
      <c r="A338" t="s">
        <v>1929</v>
      </c>
      <c r="B338" t="s">
        <v>1930</v>
      </c>
      <c r="C338" t="s">
        <v>1931</v>
      </c>
      <c r="D338" t="s">
        <v>198</v>
      </c>
      <c r="E338" t="s">
        <v>1932</v>
      </c>
      <c r="F338" t="s">
        <v>1933</v>
      </c>
      <c r="G338" t="s">
        <v>1934</v>
      </c>
      <c r="H338" t="s">
        <v>1935</v>
      </c>
      <c r="I338" t="s">
        <v>1936</v>
      </c>
      <c r="J338" t="s">
        <v>1937</v>
      </c>
      <c r="K338" t="s">
        <v>1938</v>
      </c>
      <c r="L338" t="s">
        <v>1939</v>
      </c>
      <c r="M338" t="s">
        <v>1940</v>
      </c>
      <c r="N338" t="s">
        <v>1941</v>
      </c>
      <c r="O338" t="s">
        <v>1942</v>
      </c>
      <c r="P338" t="s">
        <v>1943</v>
      </c>
      <c r="Q338" t="s">
        <v>1944</v>
      </c>
      <c r="R338" t="s">
        <v>1945</v>
      </c>
      <c r="S338" t="s">
        <v>1946</v>
      </c>
      <c r="T338" t="s">
        <v>1947</v>
      </c>
      <c r="U338" t="s">
        <v>1948</v>
      </c>
      <c r="V338" t="s">
        <v>1949</v>
      </c>
      <c r="W338" t="s">
        <v>1950</v>
      </c>
      <c r="X338" t="s">
        <v>1951</v>
      </c>
      <c r="Y338" t="s">
        <v>1952</v>
      </c>
      <c r="Z338" t="s">
        <v>1953</v>
      </c>
      <c r="AA338" t="s">
        <v>1954</v>
      </c>
      <c r="AB338" t="s">
        <v>1955</v>
      </c>
      <c r="AC338" t="s">
        <v>1956</v>
      </c>
      <c r="AD338" t="s">
        <v>1957</v>
      </c>
    </row>
    <row r="339" spans="1:30" x14ac:dyDescent="0.3">
      <c r="A339">
        <v>261</v>
      </c>
      <c r="B339" t="s">
        <v>2253</v>
      </c>
      <c r="C339" t="s">
        <v>1981</v>
      </c>
      <c r="D339">
        <v>21</v>
      </c>
      <c r="E339" t="s">
        <v>2036</v>
      </c>
      <c r="F339">
        <v>55</v>
      </c>
      <c r="G339">
        <v>52</v>
      </c>
      <c r="H339">
        <v>1587</v>
      </c>
      <c r="I339">
        <v>224</v>
      </c>
      <c r="J339">
        <v>482</v>
      </c>
      <c r="K339">
        <v>0.46500000000000002</v>
      </c>
      <c r="L339">
        <v>0</v>
      </c>
      <c r="M339">
        <v>0</v>
      </c>
      <c r="O339">
        <v>224</v>
      </c>
      <c r="P339">
        <v>482</v>
      </c>
      <c r="Q339">
        <v>0.46500000000000002</v>
      </c>
      <c r="R339">
        <v>0.46500000000000002</v>
      </c>
      <c r="S339">
        <v>150</v>
      </c>
      <c r="T339">
        <v>214</v>
      </c>
      <c r="U339">
        <v>0.70099999999999996</v>
      </c>
      <c r="V339">
        <v>109</v>
      </c>
      <c r="W339">
        <v>307</v>
      </c>
      <c r="X339">
        <v>416</v>
      </c>
      <c r="Y339">
        <v>77</v>
      </c>
      <c r="Z339">
        <v>30</v>
      </c>
      <c r="AA339">
        <v>38</v>
      </c>
      <c r="AB339">
        <v>63</v>
      </c>
      <c r="AC339">
        <v>115</v>
      </c>
      <c r="AD339">
        <v>598</v>
      </c>
    </row>
    <row r="340" spans="1:30" x14ac:dyDescent="0.3">
      <c r="A340">
        <v>262</v>
      </c>
      <c r="B340" t="s">
        <v>2254</v>
      </c>
      <c r="C340" t="s">
        <v>1961</v>
      </c>
      <c r="D340">
        <v>25</v>
      </c>
      <c r="E340" t="s">
        <v>1966</v>
      </c>
      <c r="F340">
        <v>4</v>
      </c>
      <c r="G340">
        <v>0</v>
      </c>
      <c r="H340">
        <v>72</v>
      </c>
      <c r="I340">
        <v>7</v>
      </c>
      <c r="J340">
        <v>20</v>
      </c>
      <c r="K340">
        <v>0.35</v>
      </c>
      <c r="L340">
        <v>4</v>
      </c>
      <c r="M340">
        <v>13</v>
      </c>
      <c r="N340">
        <v>0.308</v>
      </c>
      <c r="O340">
        <v>3</v>
      </c>
      <c r="P340">
        <v>7</v>
      </c>
      <c r="Q340">
        <v>0.42899999999999999</v>
      </c>
      <c r="R340">
        <v>0.45</v>
      </c>
      <c r="S340">
        <v>4</v>
      </c>
      <c r="T340">
        <v>4</v>
      </c>
      <c r="U340">
        <v>1</v>
      </c>
      <c r="V340">
        <v>1</v>
      </c>
      <c r="W340">
        <v>5</v>
      </c>
      <c r="X340">
        <v>6</v>
      </c>
      <c r="Y340">
        <v>4</v>
      </c>
      <c r="Z340">
        <v>3</v>
      </c>
      <c r="AA340">
        <v>0</v>
      </c>
      <c r="AB340">
        <v>2</v>
      </c>
      <c r="AC340">
        <v>3</v>
      </c>
      <c r="AD340">
        <v>22</v>
      </c>
    </row>
    <row r="341" spans="1:30" x14ac:dyDescent="0.3">
      <c r="A341">
        <v>263</v>
      </c>
      <c r="B341" t="s">
        <v>2255</v>
      </c>
      <c r="C341" t="s">
        <v>1981</v>
      </c>
      <c r="D341">
        <v>33</v>
      </c>
      <c r="E341" t="s">
        <v>1988</v>
      </c>
      <c r="F341">
        <v>7</v>
      </c>
      <c r="G341">
        <v>0</v>
      </c>
      <c r="H341">
        <v>36</v>
      </c>
      <c r="I341">
        <v>0</v>
      </c>
      <c r="J341">
        <v>5</v>
      </c>
      <c r="K341">
        <v>0</v>
      </c>
      <c r="L341">
        <v>0</v>
      </c>
      <c r="M341">
        <v>0</v>
      </c>
      <c r="O341">
        <v>0</v>
      </c>
      <c r="P341">
        <v>5</v>
      </c>
      <c r="Q341">
        <v>0</v>
      </c>
      <c r="R341">
        <v>0</v>
      </c>
      <c r="S341">
        <v>3</v>
      </c>
      <c r="T341">
        <v>4</v>
      </c>
      <c r="U341">
        <v>0.75</v>
      </c>
      <c r="V341">
        <v>2</v>
      </c>
      <c r="W341">
        <v>6</v>
      </c>
      <c r="X341">
        <v>8</v>
      </c>
      <c r="Y341">
        <v>1</v>
      </c>
      <c r="Z341">
        <v>1</v>
      </c>
      <c r="AA341">
        <v>0</v>
      </c>
      <c r="AB341">
        <v>1</v>
      </c>
      <c r="AC341">
        <v>1</v>
      </c>
      <c r="AD341">
        <v>3</v>
      </c>
    </row>
    <row r="342" spans="1:30" x14ac:dyDescent="0.3">
      <c r="A342">
        <v>264</v>
      </c>
      <c r="B342" t="s">
        <v>2256</v>
      </c>
      <c r="C342" t="s">
        <v>213</v>
      </c>
      <c r="D342">
        <v>23</v>
      </c>
      <c r="E342" t="s">
        <v>1984</v>
      </c>
      <c r="F342">
        <v>5</v>
      </c>
      <c r="G342">
        <v>0</v>
      </c>
      <c r="H342">
        <v>14</v>
      </c>
      <c r="I342">
        <v>1</v>
      </c>
      <c r="J342">
        <v>4</v>
      </c>
      <c r="K342">
        <v>0.25</v>
      </c>
      <c r="L342">
        <v>0</v>
      </c>
      <c r="M342">
        <v>0</v>
      </c>
      <c r="O342">
        <v>1</v>
      </c>
      <c r="P342">
        <v>4</v>
      </c>
      <c r="Q342">
        <v>0.25</v>
      </c>
      <c r="R342">
        <v>0.25</v>
      </c>
      <c r="S342">
        <v>2</v>
      </c>
      <c r="T342">
        <v>2</v>
      </c>
      <c r="U342">
        <v>1</v>
      </c>
      <c r="V342">
        <v>1</v>
      </c>
      <c r="W342">
        <v>0</v>
      </c>
      <c r="X342">
        <v>1</v>
      </c>
      <c r="Y342">
        <v>1</v>
      </c>
      <c r="Z342">
        <v>0</v>
      </c>
      <c r="AA342">
        <v>0</v>
      </c>
      <c r="AB342">
        <v>0</v>
      </c>
      <c r="AC342">
        <v>1</v>
      </c>
      <c r="AD342">
        <v>4</v>
      </c>
    </row>
    <row r="343" spans="1:30" x14ac:dyDescent="0.3">
      <c r="A343">
        <v>265</v>
      </c>
      <c r="B343" t="s">
        <v>2257</v>
      </c>
      <c r="C343" t="s">
        <v>2258</v>
      </c>
      <c r="D343">
        <v>23</v>
      </c>
      <c r="E343" t="s">
        <v>1968</v>
      </c>
      <c r="F343">
        <v>63</v>
      </c>
      <c r="G343">
        <v>61</v>
      </c>
      <c r="H343">
        <v>2035</v>
      </c>
      <c r="I343">
        <v>375</v>
      </c>
      <c r="J343">
        <v>888</v>
      </c>
      <c r="K343">
        <v>0.42199999999999999</v>
      </c>
      <c r="L343">
        <v>125</v>
      </c>
      <c r="M343">
        <v>321</v>
      </c>
      <c r="N343">
        <v>0.38900000000000001</v>
      </c>
      <c r="O343">
        <v>250</v>
      </c>
      <c r="P343">
        <v>567</v>
      </c>
      <c r="Q343">
        <v>0.441</v>
      </c>
      <c r="R343">
        <v>0.49299999999999999</v>
      </c>
      <c r="S343">
        <v>195</v>
      </c>
      <c r="T343">
        <v>223</v>
      </c>
      <c r="U343">
        <v>0.874</v>
      </c>
      <c r="V343">
        <v>28</v>
      </c>
      <c r="W343">
        <v>216</v>
      </c>
      <c r="X343">
        <v>244</v>
      </c>
      <c r="Y343">
        <v>330</v>
      </c>
      <c r="Z343">
        <v>90</v>
      </c>
      <c r="AA343">
        <v>10</v>
      </c>
      <c r="AB343">
        <v>189</v>
      </c>
      <c r="AC343">
        <v>114</v>
      </c>
      <c r="AD343">
        <v>1070</v>
      </c>
    </row>
    <row r="344" spans="1:30" x14ac:dyDescent="0.3">
      <c r="A344">
        <v>265</v>
      </c>
      <c r="B344" t="s">
        <v>2257</v>
      </c>
      <c r="C344" t="s">
        <v>2004</v>
      </c>
      <c r="D344">
        <v>23</v>
      </c>
      <c r="E344" t="s">
        <v>1993</v>
      </c>
      <c r="F344">
        <v>52</v>
      </c>
      <c r="G344">
        <v>52</v>
      </c>
      <c r="H344">
        <v>1688</v>
      </c>
      <c r="I344">
        <v>324</v>
      </c>
      <c r="J344">
        <v>745</v>
      </c>
      <c r="K344">
        <v>0.435</v>
      </c>
      <c r="L344">
        <v>104</v>
      </c>
      <c r="M344">
        <v>254</v>
      </c>
      <c r="N344">
        <v>0.40899999999999997</v>
      </c>
      <c r="O344">
        <v>220</v>
      </c>
      <c r="P344">
        <v>491</v>
      </c>
      <c r="Q344">
        <v>0.44800000000000001</v>
      </c>
      <c r="R344">
        <v>0.505</v>
      </c>
      <c r="S344">
        <v>171</v>
      </c>
      <c r="T344">
        <v>194</v>
      </c>
      <c r="U344">
        <v>0.88100000000000001</v>
      </c>
      <c r="V344">
        <v>26</v>
      </c>
      <c r="W344">
        <v>195</v>
      </c>
      <c r="X344">
        <v>221</v>
      </c>
      <c r="Y344">
        <v>281</v>
      </c>
      <c r="Z344">
        <v>84</v>
      </c>
      <c r="AA344">
        <v>9</v>
      </c>
      <c r="AB344">
        <v>166</v>
      </c>
      <c r="AC344">
        <v>93</v>
      </c>
      <c r="AD344">
        <v>923</v>
      </c>
    </row>
    <row r="345" spans="1:30" x14ac:dyDescent="0.3">
      <c r="A345">
        <v>265</v>
      </c>
      <c r="B345" t="s">
        <v>2257</v>
      </c>
      <c r="C345" t="s">
        <v>1961</v>
      </c>
      <c r="D345">
        <v>23</v>
      </c>
      <c r="E345" t="s">
        <v>2017</v>
      </c>
      <c r="F345">
        <v>11</v>
      </c>
      <c r="G345">
        <v>9</v>
      </c>
      <c r="H345">
        <v>347</v>
      </c>
      <c r="I345">
        <v>51</v>
      </c>
      <c r="J345">
        <v>143</v>
      </c>
      <c r="K345">
        <v>0.35699999999999998</v>
      </c>
      <c r="L345">
        <v>21</v>
      </c>
      <c r="M345">
        <v>67</v>
      </c>
      <c r="N345">
        <v>0.313</v>
      </c>
      <c r="O345">
        <v>30</v>
      </c>
      <c r="P345">
        <v>76</v>
      </c>
      <c r="Q345">
        <v>0.39500000000000002</v>
      </c>
      <c r="R345">
        <v>0.43</v>
      </c>
      <c r="S345">
        <v>24</v>
      </c>
      <c r="T345">
        <v>29</v>
      </c>
      <c r="U345">
        <v>0.82799999999999996</v>
      </c>
      <c r="V345">
        <v>2</v>
      </c>
      <c r="W345">
        <v>21</v>
      </c>
      <c r="X345">
        <v>23</v>
      </c>
      <c r="Y345">
        <v>49</v>
      </c>
      <c r="Z345">
        <v>6</v>
      </c>
      <c r="AA345">
        <v>1</v>
      </c>
      <c r="AB345">
        <v>23</v>
      </c>
      <c r="AC345">
        <v>21</v>
      </c>
      <c r="AD345">
        <v>147</v>
      </c>
    </row>
    <row r="346" spans="1:30" x14ac:dyDescent="0.3">
      <c r="A346">
        <v>266</v>
      </c>
      <c r="B346" t="s">
        <v>2259</v>
      </c>
      <c r="C346" t="s">
        <v>1961</v>
      </c>
      <c r="D346">
        <v>33</v>
      </c>
      <c r="E346" t="s">
        <v>1998</v>
      </c>
      <c r="F346">
        <v>75</v>
      </c>
      <c r="G346">
        <v>75</v>
      </c>
      <c r="H346">
        <v>2418</v>
      </c>
      <c r="I346">
        <v>292</v>
      </c>
      <c r="J346">
        <v>600</v>
      </c>
      <c r="K346">
        <v>0.48699999999999999</v>
      </c>
      <c r="L346">
        <v>221</v>
      </c>
      <c r="M346">
        <v>449</v>
      </c>
      <c r="N346">
        <v>0.49199999999999999</v>
      </c>
      <c r="O346">
        <v>71</v>
      </c>
      <c r="P346">
        <v>151</v>
      </c>
      <c r="Q346">
        <v>0.47</v>
      </c>
      <c r="R346">
        <v>0.67100000000000004</v>
      </c>
      <c r="S346">
        <v>106</v>
      </c>
      <c r="T346">
        <v>118</v>
      </c>
      <c r="U346">
        <v>0.89800000000000002</v>
      </c>
      <c r="V346">
        <v>15</v>
      </c>
      <c r="W346">
        <v>289</v>
      </c>
      <c r="X346">
        <v>304</v>
      </c>
      <c r="Y346">
        <v>196</v>
      </c>
      <c r="Z346">
        <v>52</v>
      </c>
      <c r="AA346">
        <v>42</v>
      </c>
      <c r="AB346">
        <v>107</v>
      </c>
      <c r="AC346">
        <v>140</v>
      </c>
      <c r="AD346">
        <v>911</v>
      </c>
    </row>
    <row r="347" spans="1:30" x14ac:dyDescent="0.3">
      <c r="A347">
        <v>267</v>
      </c>
      <c r="B347" t="s">
        <v>2260</v>
      </c>
      <c r="C347" t="s">
        <v>213</v>
      </c>
      <c r="D347">
        <v>25</v>
      </c>
      <c r="E347" t="s">
        <v>1962</v>
      </c>
      <c r="F347">
        <v>81</v>
      </c>
      <c r="G347">
        <v>3</v>
      </c>
      <c r="H347">
        <v>1348</v>
      </c>
      <c r="I347">
        <v>182</v>
      </c>
      <c r="J347">
        <v>358</v>
      </c>
      <c r="K347">
        <v>0.50800000000000001</v>
      </c>
      <c r="L347">
        <v>0</v>
      </c>
      <c r="M347">
        <v>0</v>
      </c>
      <c r="O347">
        <v>182</v>
      </c>
      <c r="P347">
        <v>358</v>
      </c>
      <c r="Q347">
        <v>0.50800000000000001</v>
      </c>
      <c r="R347">
        <v>0.50800000000000001</v>
      </c>
      <c r="S347">
        <v>55</v>
      </c>
      <c r="T347">
        <v>85</v>
      </c>
      <c r="U347">
        <v>0.64700000000000002</v>
      </c>
      <c r="V347">
        <v>121</v>
      </c>
      <c r="W347">
        <v>305</v>
      </c>
      <c r="X347">
        <v>426</v>
      </c>
      <c r="Y347">
        <v>37</v>
      </c>
      <c r="Z347">
        <v>29</v>
      </c>
      <c r="AA347">
        <v>63</v>
      </c>
      <c r="AB347">
        <v>69</v>
      </c>
      <c r="AC347">
        <v>148</v>
      </c>
      <c r="AD347">
        <v>419</v>
      </c>
    </row>
    <row r="348" spans="1:30" x14ac:dyDescent="0.3">
      <c r="A348">
        <v>268</v>
      </c>
      <c r="B348" t="s">
        <v>2261</v>
      </c>
      <c r="C348" t="s">
        <v>213</v>
      </c>
      <c r="D348">
        <v>24</v>
      </c>
      <c r="E348" t="s">
        <v>2010</v>
      </c>
      <c r="F348">
        <v>16</v>
      </c>
      <c r="G348">
        <v>0</v>
      </c>
      <c r="H348">
        <v>72</v>
      </c>
      <c r="I348">
        <v>8</v>
      </c>
      <c r="J348">
        <v>12</v>
      </c>
      <c r="K348">
        <v>0.66700000000000004</v>
      </c>
      <c r="L348">
        <v>0</v>
      </c>
      <c r="M348">
        <v>0</v>
      </c>
      <c r="O348">
        <v>8</v>
      </c>
      <c r="P348">
        <v>12</v>
      </c>
      <c r="Q348">
        <v>0.66700000000000004</v>
      </c>
      <c r="R348">
        <v>0.66700000000000004</v>
      </c>
      <c r="S348">
        <v>4</v>
      </c>
      <c r="T348">
        <v>4</v>
      </c>
      <c r="U348">
        <v>1</v>
      </c>
      <c r="V348">
        <v>7</v>
      </c>
      <c r="W348">
        <v>10</v>
      </c>
      <c r="X348">
        <v>17</v>
      </c>
      <c r="Y348">
        <v>6</v>
      </c>
      <c r="Z348">
        <v>2</v>
      </c>
      <c r="AA348">
        <v>1</v>
      </c>
      <c r="AB348">
        <v>5</v>
      </c>
      <c r="AC348">
        <v>13</v>
      </c>
      <c r="AD348">
        <v>20</v>
      </c>
    </row>
    <row r="349" spans="1:30" x14ac:dyDescent="0.3">
      <c r="A349">
        <v>269</v>
      </c>
      <c r="B349" t="s">
        <v>2262</v>
      </c>
      <c r="C349" t="s">
        <v>1961</v>
      </c>
      <c r="D349">
        <v>22</v>
      </c>
      <c r="E349" t="s">
        <v>1964</v>
      </c>
      <c r="F349">
        <v>47</v>
      </c>
      <c r="G349">
        <v>8</v>
      </c>
      <c r="H349">
        <v>633</v>
      </c>
      <c r="I349">
        <v>104</v>
      </c>
      <c r="J349">
        <v>250</v>
      </c>
      <c r="K349">
        <v>0.41599999999999998</v>
      </c>
      <c r="L349">
        <v>38</v>
      </c>
      <c r="M349">
        <v>111</v>
      </c>
      <c r="N349">
        <v>0.34200000000000003</v>
      </c>
      <c r="O349">
        <v>66</v>
      </c>
      <c r="P349">
        <v>139</v>
      </c>
      <c r="Q349">
        <v>0.47499999999999998</v>
      </c>
      <c r="R349">
        <v>0.49199999999999999</v>
      </c>
      <c r="S349">
        <v>49</v>
      </c>
      <c r="T349">
        <v>55</v>
      </c>
      <c r="U349">
        <v>0.89100000000000001</v>
      </c>
      <c r="V349">
        <v>8</v>
      </c>
      <c r="W349">
        <v>99</v>
      </c>
      <c r="X349">
        <v>107</v>
      </c>
      <c r="Y349">
        <v>44</v>
      </c>
      <c r="Z349">
        <v>21</v>
      </c>
      <c r="AA349">
        <v>6</v>
      </c>
      <c r="AB349">
        <v>27</v>
      </c>
      <c r="AC349">
        <v>52</v>
      </c>
      <c r="AD349">
        <v>295</v>
      </c>
    </row>
    <row r="350" spans="1:30" x14ac:dyDescent="0.3">
      <c r="A350">
        <v>270</v>
      </c>
      <c r="B350" t="s">
        <v>2263</v>
      </c>
      <c r="C350" t="s">
        <v>1956</v>
      </c>
      <c r="D350">
        <v>31</v>
      </c>
      <c r="E350" t="s">
        <v>2034</v>
      </c>
      <c r="F350">
        <v>70</v>
      </c>
      <c r="G350">
        <v>15</v>
      </c>
      <c r="H350">
        <v>1192</v>
      </c>
      <c r="I350">
        <v>190</v>
      </c>
      <c r="J350">
        <v>369</v>
      </c>
      <c r="K350">
        <v>0.51500000000000001</v>
      </c>
      <c r="L350">
        <v>0</v>
      </c>
      <c r="M350">
        <v>0</v>
      </c>
      <c r="O350">
        <v>190</v>
      </c>
      <c r="P350">
        <v>369</v>
      </c>
      <c r="Q350">
        <v>0.51500000000000001</v>
      </c>
      <c r="R350">
        <v>0.51500000000000001</v>
      </c>
      <c r="S350">
        <v>123</v>
      </c>
      <c r="T350">
        <v>150</v>
      </c>
      <c r="U350">
        <v>0.82</v>
      </c>
      <c r="V350">
        <v>99</v>
      </c>
      <c r="W350">
        <v>169</v>
      </c>
      <c r="X350">
        <v>268</v>
      </c>
      <c r="Y350">
        <v>26</v>
      </c>
      <c r="Z350">
        <v>15</v>
      </c>
      <c r="AA350">
        <v>17</v>
      </c>
      <c r="AB350">
        <v>54</v>
      </c>
      <c r="AC350">
        <v>132</v>
      </c>
      <c r="AD350">
        <v>503</v>
      </c>
    </row>
    <row r="351" spans="1:30" x14ac:dyDescent="0.3">
      <c r="A351">
        <v>271</v>
      </c>
      <c r="B351" t="s">
        <v>2264</v>
      </c>
      <c r="C351" t="s">
        <v>2004</v>
      </c>
      <c r="D351">
        <v>22</v>
      </c>
      <c r="E351" t="s">
        <v>1959</v>
      </c>
      <c r="F351">
        <v>76</v>
      </c>
      <c r="G351">
        <v>22</v>
      </c>
      <c r="H351">
        <v>1865</v>
      </c>
      <c r="I351">
        <v>187</v>
      </c>
      <c r="J351">
        <v>432</v>
      </c>
      <c r="K351">
        <v>0.433</v>
      </c>
      <c r="L351">
        <v>35</v>
      </c>
      <c r="M351">
        <v>116</v>
      </c>
      <c r="N351">
        <v>0.30199999999999999</v>
      </c>
      <c r="O351">
        <v>152</v>
      </c>
      <c r="P351">
        <v>316</v>
      </c>
      <c r="Q351">
        <v>0.48099999999999998</v>
      </c>
      <c r="R351">
        <v>0.47299999999999998</v>
      </c>
      <c r="S351">
        <v>61</v>
      </c>
      <c r="T351">
        <v>78</v>
      </c>
      <c r="U351">
        <v>0.78200000000000003</v>
      </c>
      <c r="V351">
        <v>29</v>
      </c>
      <c r="W351">
        <v>147</v>
      </c>
      <c r="X351">
        <v>176</v>
      </c>
      <c r="Y351">
        <v>226</v>
      </c>
      <c r="Z351">
        <v>93</v>
      </c>
      <c r="AA351">
        <v>9</v>
      </c>
      <c r="AB351">
        <v>83</v>
      </c>
      <c r="AC351">
        <v>150</v>
      </c>
      <c r="AD351">
        <v>470</v>
      </c>
    </row>
    <row r="352" spans="1:30" x14ac:dyDescent="0.3">
      <c r="A352">
        <v>272</v>
      </c>
      <c r="B352" t="s">
        <v>2265</v>
      </c>
      <c r="C352" t="s">
        <v>213</v>
      </c>
      <c r="D352">
        <v>23</v>
      </c>
      <c r="E352" t="s">
        <v>1969</v>
      </c>
      <c r="F352">
        <v>24</v>
      </c>
      <c r="G352">
        <v>1</v>
      </c>
      <c r="H352">
        <v>268</v>
      </c>
      <c r="I352">
        <v>36</v>
      </c>
      <c r="J352">
        <v>89</v>
      </c>
      <c r="K352">
        <v>0.40400000000000003</v>
      </c>
      <c r="L352">
        <v>3</v>
      </c>
      <c r="M352">
        <v>16</v>
      </c>
      <c r="N352">
        <v>0.188</v>
      </c>
      <c r="O352">
        <v>33</v>
      </c>
      <c r="P352">
        <v>73</v>
      </c>
      <c r="Q352">
        <v>0.45200000000000001</v>
      </c>
      <c r="R352">
        <v>0.42099999999999999</v>
      </c>
      <c r="S352">
        <v>18</v>
      </c>
      <c r="T352">
        <v>28</v>
      </c>
      <c r="U352">
        <v>0.64300000000000002</v>
      </c>
      <c r="V352">
        <v>27</v>
      </c>
      <c r="W352">
        <v>50</v>
      </c>
      <c r="X352">
        <v>77</v>
      </c>
      <c r="Y352">
        <v>13</v>
      </c>
      <c r="Z352">
        <v>8</v>
      </c>
      <c r="AA352">
        <v>10</v>
      </c>
      <c r="AB352">
        <v>22</v>
      </c>
      <c r="AC352">
        <v>43</v>
      </c>
      <c r="AD352">
        <v>93</v>
      </c>
    </row>
    <row r="353" spans="1:30" x14ac:dyDescent="0.3">
      <c r="A353">
        <v>273</v>
      </c>
      <c r="B353" t="s">
        <v>2266</v>
      </c>
      <c r="C353" t="s">
        <v>2004</v>
      </c>
      <c r="D353">
        <v>19</v>
      </c>
      <c r="E353" t="s">
        <v>1966</v>
      </c>
      <c r="F353">
        <v>77</v>
      </c>
      <c r="G353">
        <v>40</v>
      </c>
      <c r="H353">
        <v>1902</v>
      </c>
      <c r="I353">
        <v>286</v>
      </c>
      <c r="J353">
        <v>677</v>
      </c>
      <c r="K353">
        <v>0.42199999999999999</v>
      </c>
      <c r="L353">
        <v>57</v>
      </c>
      <c r="M353">
        <v>167</v>
      </c>
      <c r="N353">
        <v>0.34100000000000003</v>
      </c>
      <c r="O353">
        <v>229</v>
      </c>
      <c r="P353">
        <v>510</v>
      </c>
      <c r="Q353">
        <v>0.44900000000000001</v>
      </c>
      <c r="R353">
        <v>0.46500000000000002</v>
      </c>
      <c r="S353">
        <v>149</v>
      </c>
      <c r="T353">
        <v>177</v>
      </c>
      <c r="U353">
        <v>0.84199999999999997</v>
      </c>
      <c r="V353">
        <v>27</v>
      </c>
      <c r="W353">
        <v>187</v>
      </c>
      <c r="X353">
        <v>214</v>
      </c>
      <c r="Y353">
        <v>276</v>
      </c>
      <c r="Z353">
        <v>54</v>
      </c>
      <c r="AA353">
        <v>10</v>
      </c>
      <c r="AB353">
        <v>193</v>
      </c>
      <c r="AC353">
        <v>158</v>
      </c>
      <c r="AD353">
        <v>778</v>
      </c>
    </row>
    <row r="354" spans="1:30" x14ac:dyDescent="0.3">
      <c r="A354">
        <v>274</v>
      </c>
      <c r="B354" t="s">
        <v>2267</v>
      </c>
      <c r="C354" t="s">
        <v>2004</v>
      </c>
      <c r="D354">
        <v>27</v>
      </c>
      <c r="E354" t="s">
        <v>1969</v>
      </c>
      <c r="F354">
        <v>75</v>
      </c>
      <c r="G354">
        <v>75</v>
      </c>
      <c r="H354">
        <v>2665</v>
      </c>
      <c r="I354">
        <v>404</v>
      </c>
      <c r="J354">
        <v>926</v>
      </c>
      <c r="K354">
        <v>0.436</v>
      </c>
      <c r="L354">
        <v>70</v>
      </c>
      <c r="M354">
        <v>205</v>
      </c>
      <c r="N354">
        <v>0.34100000000000003</v>
      </c>
      <c r="O354">
        <v>334</v>
      </c>
      <c r="P354">
        <v>721</v>
      </c>
      <c r="Q354">
        <v>0.46300000000000002</v>
      </c>
      <c r="R354">
        <v>0.47399999999999998</v>
      </c>
      <c r="S354">
        <v>265</v>
      </c>
      <c r="T354">
        <v>363</v>
      </c>
      <c r="U354">
        <v>0.73</v>
      </c>
      <c r="V354">
        <v>42</v>
      </c>
      <c r="W354">
        <v>192</v>
      </c>
      <c r="X354">
        <v>234</v>
      </c>
      <c r="Y354">
        <v>720</v>
      </c>
      <c r="Z354">
        <v>92</v>
      </c>
      <c r="AA354">
        <v>9</v>
      </c>
      <c r="AB354">
        <v>185</v>
      </c>
      <c r="AC354">
        <v>128</v>
      </c>
      <c r="AD354">
        <v>1143</v>
      </c>
    </row>
    <row r="355" spans="1:30" x14ac:dyDescent="0.3">
      <c r="A355">
        <v>275</v>
      </c>
      <c r="B355" t="s">
        <v>2268</v>
      </c>
      <c r="C355" t="s">
        <v>1961</v>
      </c>
      <c r="D355">
        <v>22</v>
      </c>
      <c r="E355" t="s">
        <v>1968</v>
      </c>
      <c r="F355">
        <v>17</v>
      </c>
      <c r="G355">
        <v>0</v>
      </c>
      <c r="H355">
        <v>244</v>
      </c>
      <c r="I355">
        <v>32</v>
      </c>
      <c r="J355">
        <v>96</v>
      </c>
      <c r="K355">
        <v>0.33300000000000002</v>
      </c>
      <c r="L355">
        <v>10</v>
      </c>
      <c r="M355">
        <v>27</v>
      </c>
      <c r="N355">
        <v>0.37</v>
      </c>
      <c r="O355">
        <v>22</v>
      </c>
      <c r="P355">
        <v>69</v>
      </c>
      <c r="Q355">
        <v>0.31900000000000001</v>
      </c>
      <c r="R355">
        <v>0.38500000000000001</v>
      </c>
      <c r="S355">
        <v>16</v>
      </c>
      <c r="T355">
        <v>22</v>
      </c>
      <c r="U355">
        <v>0.72699999999999998</v>
      </c>
      <c r="V355">
        <v>16</v>
      </c>
      <c r="W355">
        <v>20</v>
      </c>
      <c r="X355">
        <v>36</v>
      </c>
      <c r="Y355">
        <v>19</v>
      </c>
      <c r="Z355">
        <v>6</v>
      </c>
      <c r="AA355">
        <v>1</v>
      </c>
      <c r="AB355">
        <v>26</v>
      </c>
      <c r="AC355">
        <v>21</v>
      </c>
      <c r="AD355">
        <v>90</v>
      </c>
    </row>
    <row r="356" spans="1:30" x14ac:dyDescent="0.3">
      <c r="A356">
        <v>275</v>
      </c>
      <c r="B356" t="s">
        <v>2268</v>
      </c>
      <c r="C356" t="s">
        <v>1961</v>
      </c>
      <c r="D356">
        <v>22</v>
      </c>
      <c r="E356" t="s">
        <v>1982</v>
      </c>
      <c r="F356">
        <v>5</v>
      </c>
      <c r="G356">
        <v>0</v>
      </c>
      <c r="H356">
        <v>11</v>
      </c>
      <c r="I356">
        <v>0</v>
      </c>
      <c r="J356">
        <v>6</v>
      </c>
      <c r="K356">
        <v>0</v>
      </c>
      <c r="L356">
        <v>0</v>
      </c>
      <c r="M356">
        <v>3</v>
      </c>
      <c r="N356">
        <v>0</v>
      </c>
      <c r="O356">
        <v>0</v>
      </c>
      <c r="P356">
        <v>3</v>
      </c>
      <c r="Q356">
        <v>0</v>
      </c>
      <c r="R356">
        <v>0</v>
      </c>
      <c r="S356">
        <v>1</v>
      </c>
      <c r="T356">
        <v>2</v>
      </c>
      <c r="U356">
        <v>0.5</v>
      </c>
      <c r="V356">
        <v>1</v>
      </c>
      <c r="W356">
        <v>1</v>
      </c>
      <c r="X356">
        <v>2</v>
      </c>
      <c r="Y356">
        <v>1</v>
      </c>
      <c r="Z356">
        <v>0</v>
      </c>
      <c r="AA356">
        <v>0</v>
      </c>
      <c r="AB356">
        <v>2</v>
      </c>
      <c r="AC356">
        <v>1</v>
      </c>
      <c r="AD356">
        <v>1</v>
      </c>
    </row>
    <row r="357" spans="1:30" x14ac:dyDescent="0.3">
      <c r="A357">
        <v>275</v>
      </c>
      <c r="B357" t="s">
        <v>2268</v>
      </c>
      <c r="C357" t="s">
        <v>1961</v>
      </c>
      <c r="D357">
        <v>22</v>
      </c>
      <c r="E357" t="s">
        <v>1959</v>
      </c>
      <c r="F357">
        <v>12</v>
      </c>
      <c r="G357">
        <v>0</v>
      </c>
      <c r="H357">
        <v>233</v>
      </c>
      <c r="I357">
        <v>32</v>
      </c>
      <c r="J357">
        <v>90</v>
      </c>
      <c r="K357">
        <v>0.35599999999999998</v>
      </c>
      <c r="L357">
        <v>10</v>
      </c>
      <c r="M357">
        <v>24</v>
      </c>
      <c r="N357">
        <v>0.41699999999999998</v>
      </c>
      <c r="O357">
        <v>22</v>
      </c>
      <c r="P357">
        <v>66</v>
      </c>
      <c r="Q357">
        <v>0.33300000000000002</v>
      </c>
      <c r="R357">
        <v>0.41099999999999998</v>
      </c>
      <c r="S357">
        <v>15</v>
      </c>
      <c r="T357">
        <v>20</v>
      </c>
      <c r="U357">
        <v>0.75</v>
      </c>
      <c r="V357">
        <v>15</v>
      </c>
      <c r="W357">
        <v>19</v>
      </c>
      <c r="X357">
        <v>34</v>
      </c>
      <c r="Y357">
        <v>18</v>
      </c>
      <c r="Z357">
        <v>6</v>
      </c>
      <c r="AA357">
        <v>1</v>
      </c>
      <c r="AB357">
        <v>24</v>
      </c>
      <c r="AC357">
        <v>20</v>
      </c>
      <c r="AD357">
        <v>89</v>
      </c>
    </row>
    <row r="358" spans="1:30" x14ac:dyDescent="0.3">
      <c r="A358">
        <v>276</v>
      </c>
      <c r="B358" t="s">
        <v>2269</v>
      </c>
      <c r="C358" t="s">
        <v>1961</v>
      </c>
      <c r="D358">
        <v>29</v>
      </c>
      <c r="E358" t="s">
        <v>1962</v>
      </c>
      <c r="F358">
        <v>77</v>
      </c>
      <c r="G358">
        <v>74</v>
      </c>
      <c r="H358">
        <v>2354</v>
      </c>
      <c r="I358">
        <v>288</v>
      </c>
      <c r="J358">
        <v>643</v>
      </c>
      <c r="K358">
        <v>0.44800000000000001</v>
      </c>
      <c r="L358">
        <v>90</v>
      </c>
      <c r="M358">
        <v>224</v>
      </c>
      <c r="N358">
        <v>0.40200000000000002</v>
      </c>
      <c r="O358">
        <v>198</v>
      </c>
      <c r="P358">
        <v>419</v>
      </c>
      <c r="Q358">
        <v>0.47299999999999998</v>
      </c>
      <c r="R358">
        <v>0.51800000000000002</v>
      </c>
      <c r="S358">
        <v>111</v>
      </c>
      <c r="T358">
        <v>129</v>
      </c>
      <c r="U358">
        <v>0.86</v>
      </c>
      <c r="V358">
        <v>21</v>
      </c>
      <c r="W358">
        <v>157</v>
      </c>
      <c r="X358">
        <v>178</v>
      </c>
      <c r="Y358">
        <v>151</v>
      </c>
      <c r="Z358">
        <v>75</v>
      </c>
      <c r="AA358">
        <v>12</v>
      </c>
      <c r="AB358">
        <v>78</v>
      </c>
      <c r="AC358">
        <v>129</v>
      </c>
      <c r="AD358">
        <v>777</v>
      </c>
    </row>
    <row r="359" spans="1:30" x14ac:dyDescent="0.3">
      <c r="A359">
        <v>277</v>
      </c>
      <c r="B359" t="s">
        <v>2270</v>
      </c>
      <c r="C359" t="s">
        <v>1956</v>
      </c>
      <c r="D359">
        <v>31</v>
      </c>
      <c r="E359" t="s">
        <v>2010</v>
      </c>
      <c r="F359">
        <v>49</v>
      </c>
      <c r="G359">
        <v>4</v>
      </c>
      <c r="H359">
        <v>904</v>
      </c>
      <c r="I359">
        <v>160</v>
      </c>
      <c r="J359">
        <v>313</v>
      </c>
      <c r="K359">
        <v>0.51100000000000001</v>
      </c>
      <c r="L359">
        <v>0</v>
      </c>
      <c r="M359">
        <v>2</v>
      </c>
      <c r="N359">
        <v>0</v>
      </c>
      <c r="O359">
        <v>160</v>
      </c>
      <c r="P359">
        <v>311</v>
      </c>
      <c r="Q359">
        <v>0.51400000000000001</v>
      </c>
      <c r="R359">
        <v>0.51100000000000001</v>
      </c>
      <c r="S359">
        <v>68</v>
      </c>
      <c r="T359">
        <v>104</v>
      </c>
      <c r="U359">
        <v>0.65400000000000003</v>
      </c>
      <c r="V359">
        <v>81</v>
      </c>
      <c r="W359">
        <v>176</v>
      </c>
      <c r="X359">
        <v>257</v>
      </c>
      <c r="Y359">
        <v>85</v>
      </c>
      <c r="Z359">
        <v>31</v>
      </c>
      <c r="AA359">
        <v>26</v>
      </c>
      <c r="AB359">
        <v>49</v>
      </c>
      <c r="AC359">
        <v>83</v>
      </c>
      <c r="AD359">
        <v>388</v>
      </c>
    </row>
    <row r="360" spans="1:30" x14ac:dyDescent="0.3">
      <c r="A360">
        <v>278</v>
      </c>
      <c r="B360" t="s">
        <v>2271</v>
      </c>
      <c r="C360" t="s">
        <v>1961</v>
      </c>
      <c r="D360">
        <v>24</v>
      </c>
      <c r="E360" t="s">
        <v>1974</v>
      </c>
      <c r="F360">
        <v>1</v>
      </c>
      <c r="G360">
        <v>0</v>
      </c>
      <c r="H360">
        <v>2</v>
      </c>
      <c r="I360">
        <v>0</v>
      </c>
      <c r="J360">
        <v>1</v>
      </c>
      <c r="K360">
        <v>0</v>
      </c>
      <c r="L360">
        <v>0</v>
      </c>
      <c r="M360">
        <v>0</v>
      </c>
      <c r="O360">
        <v>0</v>
      </c>
      <c r="P360">
        <v>1</v>
      </c>
      <c r="Q360">
        <v>0</v>
      </c>
      <c r="R360">
        <v>0</v>
      </c>
      <c r="S360">
        <v>0</v>
      </c>
      <c r="T360">
        <v>0</v>
      </c>
      <c r="V360">
        <v>0</v>
      </c>
      <c r="W360">
        <v>0</v>
      </c>
      <c r="X360">
        <v>0</v>
      </c>
      <c r="Y360">
        <v>0</v>
      </c>
      <c r="Z360">
        <v>0</v>
      </c>
      <c r="AA360">
        <v>0</v>
      </c>
      <c r="AB360">
        <v>0</v>
      </c>
      <c r="AC360">
        <v>0</v>
      </c>
      <c r="AD360">
        <v>0</v>
      </c>
    </row>
    <row r="361" spans="1:30" x14ac:dyDescent="0.3">
      <c r="A361">
        <v>279</v>
      </c>
      <c r="B361" t="s">
        <v>2272</v>
      </c>
      <c r="C361" t="s">
        <v>213</v>
      </c>
      <c r="D361">
        <v>21</v>
      </c>
      <c r="E361" t="s">
        <v>2017</v>
      </c>
      <c r="F361">
        <v>69</v>
      </c>
      <c r="G361">
        <v>44</v>
      </c>
      <c r="H361">
        <v>1518</v>
      </c>
      <c r="I361">
        <v>179</v>
      </c>
      <c r="J361">
        <v>353</v>
      </c>
      <c r="K361">
        <v>0.50700000000000001</v>
      </c>
      <c r="L361">
        <v>1</v>
      </c>
      <c r="M361">
        <v>3</v>
      </c>
      <c r="N361">
        <v>0.33300000000000002</v>
      </c>
      <c r="O361">
        <v>178</v>
      </c>
      <c r="P361">
        <v>350</v>
      </c>
      <c r="Q361">
        <v>0.50900000000000001</v>
      </c>
      <c r="R361">
        <v>0.50800000000000001</v>
      </c>
      <c r="S361">
        <v>73</v>
      </c>
      <c r="T361">
        <v>104</v>
      </c>
      <c r="U361">
        <v>0.70199999999999996</v>
      </c>
      <c r="V361">
        <v>142</v>
      </c>
      <c r="W361">
        <v>312</v>
      </c>
      <c r="X361">
        <v>454</v>
      </c>
      <c r="Y361">
        <v>32</v>
      </c>
      <c r="Z361">
        <v>34</v>
      </c>
      <c r="AA361">
        <v>105</v>
      </c>
      <c r="AB361">
        <v>74</v>
      </c>
      <c r="AC361">
        <v>213</v>
      </c>
      <c r="AD361">
        <v>432</v>
      </c>
    </row>
    <row r="362" spans="1:30" x14ac:dyDescent="0.3">
      <c r="A362">
        <v>280</v>
      </c>
      <c r="B362" t="s">
        <v>2273</v>
      </c>
      <c r="C362" t="s">
        <v>1981</v>
      </c>
      <c r="D362">
        <v>23</v>
      </c>
      <c r="E362" t="s">
        <v>1990</v>
      </c>
      <c r="F362">
        <v>64</v>
      </c>
      <c r="G362">
        <v>64</v>
      </c>
      <c r="H362">
        <v>2033</v>
      </c>
      <c r="I362">
        <v>394</v>
      </c>
      <c r="J362">
        <v>822</v>
      </c>
      <c r="K362">
        <v>0.47899999999999998</v>
      </c>
      <c r="L362">
        <v>67</v>
      </c>
      <c r="M362">
        <v>192</v>
      </c>
      <c r="N362">
        <v>0.34899999999999998</v>
      </c>
      <c r="O362">
        <v>327</v>
      </c>
      <c r="P362">
        <v>630</v>
      </c>
      <c r="Q362">
        <v>0.51900000000000002</v>
      </c>
      <c r="R362">
        <v>0.52</v>
      </c>
      <c r="S362">
        <v>202</v>
      </c>
      <c r="T362">
        <v>252</v>
      </c>
      <c r="U362">
        <v>0.80200000000000005</v>
      </c>
      <c r="V362">
        <v>85</v>
      </c>
      <c r="W362">
        <v>376</v>
      </c>
      <c r="X362">
        <v>461</v>
      </c>
      <c r="Y362">
        <v>161</v>
      </c>
      <c r="Z362">
        <v>148</v>
      </c>
      <c r="AA362">
        <v>48</v>
      </c>
      <c r="AB362">
        <v>97</v>
      </c>
      <c r="AC362">
        <v>128</v>
      </c>
      <c r="AD362">
        <v>1057</v>
      </c>
    </row>
    <row r="363" spans="1:30" x14ac:dyDescent="0.3">
      <c r="A363" t="s">
        <v>1929</v>
      </c>
      <c r="B363" t="s">
        <v>1930</v>
      </c>
      <c r="C363" t="s">
        <v>1931</v>
      </c>
      <c r="D363" t="s">
        <v>198</v>
      </c>
      <c r="E363" t="s">
        <v>1932</v>
      </c>
      <c r="F363" t="s">
        <v>1933</v>
      </c>
      <c r="G363" t="s">
        <v>1934</v>
      </c>
      <c r="H363" t="s">
        <v>1935</v>
      </c>
      <c r="I363" t="s">
        <v>1936</v>
      </c>
      <c r="J363" t="s">
        <v>1937</v>
      </c>
      <c r="K363" t="s">
        <v>1938</v>
      </c>
      <c r="L363" t="s">
        <v>1939</v>
      </c>
      <c r="M363" t="s">
        <v>1940</v>
      </c>
      <c r="N363" t="s">
        <v>1941</v>
      </c>
      <c r="O363" t="s">
        <v>1942</v>
      </c>
      <c r="P363" t="s">
        <v>1943</v>
      </c>
      <c r="Q363" t="s">
        <v>1944</v>
      </c>
      <c r="R363" t="s">
        <v>1945</v>
      </c>
      <c r="S363" t="s">
        <v>1946</v>
      </c>
      <c r="T363" t="s">
        <v>1947</v>
      </c>
      <c r="U363" t="s">
        <v>1948</v>
      </c>
      <c r="V363" t="s">
        <v>1949</v>
      </c>
      <c r="W363" t="s">
        <v>1950</v>
      </c>
      <c r="X363" t="s">
        <v>1951</v>
      </c>
      <c r="Y363" t="s">
        <v>1952</v>
      </c>
      <c r="Z363" t="s">
        <v>1953</v>
      </c>
      <c r="AA363" t="s">
        <v>1954</v>
      </c>
      <c r="AB363" t="s">
        <v>1955</v>
      </c>
      <c r="AC363" t="s">
        <v>1956</v>
      </c>
      <c r="AD363" t="s">
        <v>1957</v>
      </c>
    </row>
    <row r="364" spans="1:30" x14ac:dyDescent="0.3">
      <c r="A364">
        <v>281</v>
      </c>
      <c r="B364" t="s">
        <v>2274</v>
      </c>
      <c r="C364" t="s">
        <v>213</v>
      </c>
      <c r="D364">
        <v>22</v>
      </c>
      <c r="E364" t="s">
        <v>1970</v>
      </c>
      <c r="F364">
        <v>55</v>
      </c>
      <c r="G364">
        <v>7</v>
      </c>
      <c r="H364">
        <v>847</v>
      </c>
      <c r="I364">
        <v>125</v>
      </c>
      <c r="J364">
        <v>245</v>
      </c>
      <c r="K364">
        <v>0.51</v>
      </c>
      <c r="L364">
        <v>47</v>
      </c>
      <c r="M364">
        <v>112</v>
      </c>
      <c r="N364">
        <v>0.42</v>
      </c>
      <c r="O364">
        <v>78</v>
      </c>
      <c r="P364">
        <v>133</v>
      </c>
      <c r="Q364">
        <v>0.58599999999999997</v>
      </c>
      <c r="R364">
        <v>0.60599999999999998</v>
      </c>
      <c r="S364">
        <v>30</v>
      </c>
      <c r="T364">
        <v>32</v>
      </c>
      <c r="U364">
        <v>0.93799999999999994</v>
      </c>
      <c r="V364">
        <v>46</v>
      </c>
      <c r="W364">
        <v>204</v>
      </c>
      <c r="X364">
        <v>250</v>
      </c>
      <c r="Y364">
        <v>32</v>
      </c>
      <c r="Z364">
        <v>10</v>
      </c>
      <c r="AA364">
        <v>14</v>
      </c>
      <c r="AB364">
        <v>39</v>
      </c>
      <c r="AC364">
        <v>113</v>
      </c>
      <c r="AD364">
        <v>327</v>
      </c>
    </row>
    <row r="365" spans="1:30" x14ac:dyDescent="0.3">
      <c r="A365">
        <v>282</v>
      </c>
      <c r="B365" t="s">
        <v>2275</v>
      </c>
      <c r="C365" t="s">
        <v>1956</v>
      </c>
      <c r="D365">
        <v>25</v>
      </c>
      <c r="E365" t="s">
        <v>1962</v>
      </c>
      <c r="F365">
        <v>63</v>
      </c>
      <c r="G365">
        <v>6</v>
      </c>
      <c r="H365">
        <v>824</v>
      </c>
      <c r="I365">
        <v>121</v>
      </c>
      <c r="J365">
        <v>273</v>
      </c>
      <c r="K365">
        <v>0.443</v>
      </c>
      <c r="L365">
        <v>7</v>
      </c>
      <c r="M365">
        <v>29</v>
      </c>
      <c r="N365">
        <v>0.24099999999999999</v>
      </c>
      <c r="O365">
        <v>114</v>
      </c>
      <c r="P365">
        <v>244</v>
      </c>
      <c r="Q365">
        <v>0.46700000000000003</v>
      </c>
      <c r="R365">
        <v>0.45600000000000002</v>
      </c>
      <c r="S365">
        <v>37</v>
      </c>
      <c r="T365">
        <v>59</v>
      </c>
      <c r="U365">
        <v>0.627</v>
      </c>
      <c r="V365">
        <v>50</v>
      </c>
      <c r="W365">
        <v>157</v>
      </c>
      <c r="X365">
        <v>207</v>
      </c>
      <c r="Y365">
        <v>46</v>
      </c>
      <c r="Z365">
        <v>17</v>
      </c>
      <c r="AA365">
        <v>9</v>
      </c>
      <c r="AB365">
        <v>35</v>
      </c>
      <c r="AC365">
        <v>86</v>
      </c>
      <c r="AD365">
        <v>286</v>
      </c>
    </row>
    <row r="366" spans="1:30" x14ac:dyDescent="0.3">
      <c r="A366">
        <v>283</v>
      </c>
      <c r="B366" t="s">
        <v>2276</v>
      </c>
      <c r="C366" t="s">
        <v>2004</v>
      </c>
      <c r="D366">
        <v>24</v>
      </c>
      <c r="E366" t="s">
        <v>1970</v>
      </c>
      <c r="F366">
        <v>82</v>
      </c>
      <c r="G366">
        <v>82</v>
      </c>
      <c r="H366">
        <v>2925</v>
      </c>
      <c r="I366">
        <v>590</v>
      </c>
      <c r="J366">
        <v>1360</v>
      </c>
      <c r="K366">
        <v>0.434</v>
      </c>
      <c r="L366">
        <v>196</v>
      </c>
      <c r="M366">
        <v>572</v>
      </c>
      <c r="N366">
        <v>0.34300000000000003</v>
      </c>
      <c r="O366">
        <v>394</v>
      </c>
      <c r="P366">
        <v>788</v>
      </c>
      <c r="Q366">
        <v>0.5</v>
      </c>
      <c r="R366">
        <v>0.50600000000000001</v>
      </c>
      <c r="S366">
        <v>344</v>
      </c>
      <c r="T366">
        <v>398</v>
      </c>
      <c r="U366">
        <v>0.86399999999999999</v>
      </c>
      <c r="V366">
        <v>49</v>
      </c>
      <c r="W366">
        <v>329</v>
      </c>
      <c r="X366">
        <v>378</v>
      </c>
      <c r="Y366">
        <v>507</v>
      </c>
      <c r="Z366">
        <v>97</v>
      </c>
      <c r="AA366">
        <v>21</v>
      </c>
      <c r="AB366">
        <v>222</v>
      </c>
      <c r="AC366">
        <v>164</v>
      </c>
      <c r="AD366">
        <v>1720</v>
      </c>
    </row>
    <row r="367" spans="1:30" x14ac:dyDescent="0.3">
      <c r="A367">
        <v>284</v>
      </c>
      <c r="B367" t="s">
        <v>2277</v>
      </c>
      <c r="C367" t="s">
        <v>2004</v>
      </c>
      <c r="D367">
        <v>26</v>
      </c>
      <c r="E367" t="s">
        <v>2038</v>
      </c>
      <c r="F367">
        <v>74</v>
      </c>
      <c r="G367">
        <v>30</v>
      </c>
      <c r="H367">
        <v>1907</v>
      </c>
      <c r="I367">
        <v>277</v>
      </c>
      <c r="J367">
        <v>654</v>
      </c>
      <c r="K367">
        <v>0.42399999999999999</v>
      </c>
      <c r="L367">
        <v>65</v>
      </c>
      <c r="M367">
        <v>176</v>
      </c>
      <c r="N367">
        <v>0.36899999999999999</v>
      </c>
      <c r="O367">
        <v>212</v>
      </c>
      <c r="P367">
        <v>478</v>
      </c>
      <c r="Q367">
        <v>0.44400000000000001</v>
      </c>
      <c r="R367">
        <v>0.47299999999999998</v>
      </c>
      <c r="S367">
        <v>213</v>
      </c>
      <c r="T367">
        <v>268</v>
      </c>
      <c r="U367">
        <v>0.79500000000000004</v>
      </c>
      <c r="V367">
        <v>26</v>
      </c>
      <c r="W367">
        <v>170</v>
      </c>
      <c r="X367">
        <v>196</v>
      </c>
      <c r="Y367">
        <v>339</v>
      </c>
      <c r="Z367">
        <v>82</v>
      </c>
      <c r="AA367">
        <v>32</v>
      </c>
      <c r="AB367">
        <v>166</v>
      </c>
      <c r="AC367">
        <v>189</v>
      </c>
      <c r="AD367">
        <v>832</v>
      </c>
    </row>
    <row r="368" spans="1:30" x14ac:dyDescent="0.3">
      <c r="A368">
        <v>285</v>
      </c>
      <c r="B368" t="s">
        <v>2278</v>
      </c>
      <c r="C368" t="s">
        <v>2004</v>
      </c>
      <c r="D368">
        <v>29</v>
      </c>
      <c r="E368" t="s">
        <v>2010</v>
      </c>
      <c r="F368">
        <v>78</v>
      </c>
      <c r="G368">
        <v>2</v>
      </c>
      <c r="H368">
        <v>1468</v>
      </c>
      <c r="I368">
        <v>198</v>
      </c>
      <c r="J368">
        <v>396</v>
      </c>
      <c r="K368">
        <v>0.5</v>
      </c>
      <c r="L368">
        <v>0</v>
      </c>
      <c r="M368">
        <v>2</v>
      </c>
      <c r="N368">
        <v>0</v>
      </c>
      <c r="O368">
        <v>198</v>
      </c>
      <c r="P368">
        <v>394</v>
      </c>
      <c r="Q368">
        <v>0.503</v>
      </c>
      <c r="R368">
        <v>0.5</v>
      </c>
      <c r="S368">
        <v>65</v>
      </c>
      <c r="T368">
        <v>91</v>
      </c>
      <c r="U368">
        <v>0.71399999999999997</v>
      </c>
      <c r="V368">
        <v>43</v>
      </c>
      <c r="W368">
        <v>140</v>
      </c>
      <c r="X368">
        <v>183</v>
      </c>
      <c r="Y368">
        <v>259</v>
      </c>
      <c r="Z368">
        <v>49</v>
      </c>
      <c r="AA368">
        <v>20</v>
      </c>
      <c r="AB368">
        <v>102</v>
      </c>
      <c r="AC368">
        <v>110</v>
      </c>
      <c r="AD368">
        <v>461</v>
      </c>
    </row>
    <row r="369" spans="1:30" x14ac:dyDescent="0.3">
      <c r="A369">
        <v>286</v>
      </c>
      <c r="B369" t="s">
        <v>2279</v>
      </c>
      <c r="C369" t="s">
        <v>213</v>
      </c>
      <c r="D369">
        <v>26</v>
      </c>
      <c r="E369" t="s">
        <v>1988</v>
      </c>
      <c r="F369">
        <v>72</v>
      </c>
      <c r="G369">
        <v>44</v>
      </c>
      <c r="H369">
        <v>2100</v>
      </c>
      <c r="I369">
        <v>506</v>
      </c>
      <c r="J369">
        <v>987</v>
      </c>
      <c r="K369">
        <v>0.51300000000000001</v>
      </c>
      <c r="L369">
        <v>1</v>
      </c>
      <c r="M369">
        <v>10</v>
      </c>
      <c r="N369">
        <v>0.1</v>
      </c>
      <c r="O369">
        <v>505</v>
      </c>
      <c r="P369">
        <v>977</v>
      </c>
      <c r="Q369">
        <v>0.51700000000000002</v>
      </c>
      <c r="R369">
        <v>0.51300000000000001</v>
      </c>
      <c r="S369">
        <v>223</v>
      </c>
      <c r="T369">
        <v>274</v>
      </c>
      <c r="U369">
        <v>0.81399999999999995</v>
      </c>
      <c r="V369">
        <v>214</v>
      </c>
      <c r="W369">
        <v>321</v>
      </c>
      <c r="X369">
        <v>535</v>
      </c>
      <c r="Y369">
        <v>50</v>
      </c>
      <c r="Z369">
        <v>43</v>
      </c>
      <c r="AA369">
        <v>126</v>
      </c>
      <c r="AB369">
        <v>104</v>
      </c>
      <c r="AC369">
        <v>206</v>
      </c>
      <c r="AD369">
        <v>1236</v>
      </c>
    </row>
    <row r="370" spans="1:30" x14ac:dyDescent="0.3">
      <c r="A370">
        <v>287</v>
      </c>
      <c r="B370" t="s">
        <v>2280</v>
      </c>
      <c r="C370" t="s">
        <v>213</v>
      </c>
      <c r="D370">
        <v>26</v>
      </c>
      <c r="E370" t="s">
        <v>1970</v>
      </c>
      <c r="F370">
        <v>59</v>
      </c>
      <c r="G370">
        <v>59</v>
      </c>
      <c r="H370">
        <v>1638</v>
      </c>
      <c r="I370">
        <v>234</v>
      </c>
      <c r="J370">
        <v>437</v>
      </c>
      <c r="K370">
        <v>0.53500000000000003</v>
      </c>
      <c r="L370">
        <v>0</v>
      </c>
      <c r="M370">
        <v>1</v>
      </c>
      <c r="N370">
        <v>0</v>
      </c>
      <c r="O370">
        <v>234</v>
      </c>
      <c r="P370">
        <v>436</v>
      </c>
      <c r="Q370">
        <v>0.53700000000000003</v>
      </c>
      <c r="R370">
        <v>0.53500000000000003</v>
      </c>
      <c r="S370">
        <v>98</v>
      </c>
      <c r="T370">
        <v>127</v>
      </c>
      <c r="U370">
        <v>0.77200000000000002</v>
      </c>
      <c r="V370">
        <v>190</v>
      </c>
      <c r="W370">
        <v>204</v>
      </c>
      <c r="X370">
        <v>394</v>
      </c>
      <c r="Y370">
        <v>55</v>
      </c>
      <c r="Z370">
        <v>16</v>
      </c>
      <c r="AA370">
        <v>84</v>
      </c>
      <c r="AB370">
        <v>73</v>
      </c>
      <c r="AC370">
        <v>122</v>
      </c>
      <c r="AD370">
        <v>566</v>
      </c>
    </row>
    <row r="371" spans="1:30" x14ac:dyDescent="0.3">
      <c r="A371">
        <v>288</v>
      </c>
      <c r="B371" t="s">
        <v>2281</v>
      </c>
      <c r="C371" t="s">
        <v>1956</v>
      </c>
      <c r="D371">
        <v>26</v>
      </c>
      <c r="E371" t="s">
        <v>1984</v>
      </c>
      <c r="F371">
        <v>75</v>
      </c>
      <c r="G371">
        <v>75</v>
      </c>
      <c r="H371">
        <v>2532</v>
      </c>
      <c r="I371">
        <v>413</v>
      </c>
      <c r="J371">
        <v>952</v>
      </c>
      <c r="K371">
        <v>0.434</v>
      </c>
      <c r="L371">
        <v>144</v>
      </c>
      <c r="M371">
        <v>392</v>
      </c>
      <c r="N371">
        <v>0.36699999999999999</v>
      </c>
      <c r="O371">
        <v>269</v>
      </c>
      <c r="P371">
        <v>560</v>
      </c>
      <c r="Q371">
        <v>0.48</v>
      </c>
      <c r="R371">
        <v>0.50900000000000001</v>
      </c>
      <c r="S371">
        <v>258</v>
      </c>
      <c r="T371">
        <v>321</v>
      </c>
      <c r="U371">
        <v>0.80400000000000005</v>
      </c>
      <c r="V371">
        <v>142</v>
      </c>
      <c r="W371">
        <v>589</v>
      </c>
      <c r="X371">
        <v>731</v>
      </c>
      <c r="Y371">
        <v>168</v>
      </c>
      <c r="Z371">
        <v>51</v>
      </c>
      <c r="AA371">
        <v>39</v>
      </c>
      <c r="AB371">
        <v>122</v>
      </c>
      <c r="AC371">
        <v>140</v>
      </c>
      <c r="AD371">
        <v>1228</v>
      </c>
    </row>
    <row r="372" spans="1:30" x14ac:dyDescent="0.3">
      <c r="A372">
        <v>289</v>
      </c>
      <c r="B372" t="s">
        <v>2282</v>
      </c>
      <c r="C372" t="s">
        <v>2004</v>
      </c>
      <c r="D372">
        <v>28</v>
      </c>
      <c r="E372" t="s">
        <v>2068</v>
      </c>
      <c r="F372">
        <v>70</v>
      </c>
      <c r="G372">
        <v>70</v>
      </c>
      <c r="H372">
        <v>2414</v>
      </c>
      <c r="I372">
        <v>430</v>
      </c>
      <c r="J372">
        <v>1043</v>
      </c>
      <c r="K372">
        <v>0.41199999999999998</v>
      </c>
      <c r="L372">
        <v>132</v>
      </c>
      <c r="M372">
        <v>391</v>
      </c>
      <c r="N372">
        <v>0.33800000000000002</v>
      </c>
      <c r="O372">
        <v>298</v>
      </c>
      <c r="P372">
        <v>652</v>
      </c>
      <c r="Q372">
        <v>0.45700000000000002</v>
      </c>
      <c r="R372">
        <v>0.47599999999999998</v>
      </c>
      <c r="S372">
        <v>252</v>
      </c>
      <c r="T372">
        <v>312</v>
      </c>
      <c r="U372">
        <v>0.80800000000000005</v>
      </c>
      <c r="V372">
        <v>54</v>
      </c>
      <c r="W372">
        <v>274</v>
      </c>
      <c r="X372">
        <v>328</v>
      </c>
      <c r="Y372">
        <v>473</v>
      </c>
      <c r="Z372">
        <v>109</v>
      </c>
      <c r="AA372">
        <v>13</v>
      </c>
      <c r="AB372">
        <v>173</v>
      </c>
      <c r="AC372">
        <v>212</v>
      </c>
      <c r="AD372">
        <v>1244</v>
      </c>
    </row>
    <row r="373" spans="1:30" x14ac:dyDescent="0.3">
      <c r="A373">
        <v>290</v>
      </c>
      <c r="B373" t="s">
        <v>2283</v>
      </c>
      <c r="C373" t="s">
        <v>2004</v>
      </c>
      <c r="D373">
        <v>25</v>
      </c>
      <c r="E373" t="s">
        <v>1962</v>
      </c>
      <c r="F373">
        <v>1</v>
      </c>
      <c r="G373">
        <v>0</v>
      </c>
      <c r="H373">
        <v>6</v>
      </c>
      <c r="I373">
        <v>0</v>
      </c>
      <c r="J373">
        <v>1</v>
      </c>
      <c r="K373">
        <v>0</v>
      </c>
      <c r="L373">
        <v>0</v>
      </c>
      <c r="M373">
        <v>0</v>
      </c>
      <c r="O373">
        <v>0</v>
      </c>
      <c r="P373">
        <v>1</v>
      </c>
      <c r="Q373">
        <v>0</v>
      </c>
      <c r="R373">
        <v>0</v>
      </c>
      <c r="S373">
        <v>0</v>
      </c>
      <c r="T373">
        <v>0</v>
      </c>
      <c r="V373">
        <v>0</v>
      </c>
      <c r="W373">
        <v>0</v>
      </c>
      <c r="X373">
        <v>0</v>
      </c>
      <c r="Y373">
        <v>0</v>
      </c>
      <c r="Z373">
        <v>1</v>
      </c>
      <c r="AA373">
        <v>0</v>
      </c>
      <c r="AB373">
        <v>0</v>
      </c>
      <c r="AC373">
        <v>1</v>
      </c>
      <c r="AD373">
        <v>0</v>
      </c>
    </row>
    <row r="374" spans="1:30" x14ac:dyDescent="0.3">
      <c r="A374">
        <v>291</v>
      </c>
      <c r="B374" t="s">
        <v>2284</v>
      </c>
      <c r="C374" t="s">
        <v>2004</v>
      </c>
      <c r="D374">
        <v>32</v>
      </c>
      <c r="E374" t="s">
        <v>1996</v>
      </c>
      <c r="F374">
        <v>21</v>
      </c>
      <c r="G374">
        <v>0</v>
      </c>
      <c r="H374">
        <v>272</v>
      </c>
      <c r="I374">
        <v>42</v>
      </c>
      <c r="J374">
        <v>104</v>
      </c>
      <c r="K374">
        <v>0.40400000000000003</v>
      </c>
      <c r="L374">
        <v>9</v>
      </c>
      <c r="M374">
        <v>29</v>
      </c>
      <c r="N374">
        <v>0.31</v>
      </c>
      <c r="O374">
        <v>33</v>
      </c>
      <c r="P374">
        <v>75</v>
      </c>
      <c r="Q374">
        <v>0.44</v>
      </c>
      <c r="R374">
        <v>0.44700000000000001</v>
      </c>
      <c r="S374">
        <v>5</v>
      </c>
      <c r="T374">
        <v>5</v>
      </c>
      <c r="U374">
        <v>1</v>
      </c>
      <c r="V374">
        <v>4</v>
      </c>
      <c r="W374">
        <v>12</v>
      </c>
      <c r="X374">
        <v>16</v>
      </c>
      <c r="Y374">
        <v>60</v>
      </c>
      <c r="Z374">
        <v>8</v>
      </c>
      <c r="AA374">
        <v>0</v>
      </c>
      <c r="AB374">
        <v>16</v>
      </c>
      <c r="AC374">
        <v>18</v>
      </c>
      <c r="AD374">
        <v>98</v>
      </c>
    </row>
    <row r="375" spans="1:30" x14ac:dyDescent="0.3">
      <c r="A375">
        <v>292</v>
      </c>
      <c r="B375" t="s">
        <v>2285</v>
      </c>
      <c r="C375" t="s">
        <v>2004</v>
      </c>
      <c r="D375">
        <v>24</v>
      </c>
      <c r="E375" t="s">
        <v>1998</v>
      </c>
      <c r="F375">
        <v>55</v>
      </c>
      <c r="G375">
        <v>0</v>
      </c>
      <c r="H375">
        <v>833</v>
      </c>
      <c r="I375">
        <v>117</v>
      </c>
      <c r="J375">
        <v>292</v>
      </c>
      <c r="K375">
        <v>0.40100000000000002</v>
      </c>
      <c r="L375">
        <v>40</v>
      </c>
      <c r="M375">
        <v>127</v>
      </c>
      <c r="N375">
        <v>0.315</v>
      </c>
      <c r="O375">
        <v>77</v>
      </c>
      <c r="P375">
        <v>165</v>
      </c>
      <c r="Q375">
        <v>0.46700000000000003</v>
      </c>
      <c r="R375">
        <v>0.46899999999999997</v>
      </c>
      <c r="S375">
        <v>25</v>
      </c>
      <c r="T375">
        <v>31</v>
      </c>
      <c r="U375">
        <v>0.80600000000000005</v>
      </c>
      <c r="V375">
        <v>8</v>
      </c>
      <c r="W375">
        <v>71</v>
      </c>
      <c r="X375">
        <v>79</v>
      </c>
      <c r="Y375">
        <v>155</v>
      </c>
      <c r="Z375">
        <v>30</v>
      </c>
      <c r="AA375">
        <v>2</v>
      </c>
      <c r="AB375">
        <v>49</v>
      </c>
      <c r="AC375">
        <v>32</v>
      </c>
      <c r="AD375">
        <v>299</v>
      </c>
    </row>
    <row r="376" spans="1:30" x14ac:dyDescent="0.3">
      <c r="A376">
        <v>293</v>
      </c>
      <c r="B376" t="s">
        <v>2286</v>
      </c>
      <c r="C376" t="s">
        <v>213</v>
      </c>
      <c r="D376">
        <v>28</v>
      </c>
      <c r="E376" t="s">
        <v>1978</v>
      </c>
      <c r="F376">
        <v>61</v>
      </c>
      <c r="G376">
        <v>6</v>
      </c>
      <c r="H376">
        <v>1146</v>
      </c>
      <c r="I376">
        <v>117</v>
      </c>
      <c r="J376">
        <v>212</v>
      </c>
      <c r="K376">
        <v>0.55200000000000005</v>
      </c>
      <c r="L376">
        <v>0</v>
      </c>
      <c r="M376">
        <v>0</v>
      </c>
      <c r="O376">
        <v>117</v>
      </c>
      <c r="P376">
        <v>212</v>
      </c>
      <c r="Q376">
        <v>0.55200000000000005</v>
      </c>
      <c r="R376">
        <v>0.55200000000000005</v>
      </c>
      <c r="S376">
        <v>31</v>
      </c>
      <c r="T376">
        <v>102</v>
      </c>
      <c r="U376">
        <v>0.30399999999999999</v>
      </c>
      <c r="V376">
        <v>105</v>
      </c>
      <c r="W376">
        <v>251</v>
      </c>
      <c r="X376">
        <v>356</v>
      </c>
      <c r="Y376">
        <v>33</v>
      </c>
      <c r="Z376">
        <v>30</v>
      </c>
      <c r="AA376">
        <v>46</v>
      </c>
      <c r="AB376">
        <v>59</v>
      </c>
      <c r="AC376">
        <v>172</v>
      </c>
      <c r="AD376">
        <v>265</v>
      </c>
    </row>
    <row r="377" spans="1:30" x14ac:dyDescent="0.3">
      <c r="A377">
        <v>294</v>
      </c>
      <c r="B377" t="s">
        <v>2287</v>
      </c>
      <c r="C377" t="s">
        <v>1961</v>
      </c>
      <c r="D377">
        <v>22</v>
      </c>
      <c r="E377" t="s">
        <v>2113</v>
      </c>
      <c r="F377">
        <v>16</v>
      </c>
      <c r="G377">
        <v>7</v>
      </c>
      <c r="H377">
        <v>208</v>
      </c>
      <c r="I377">
        <v>14</v>
      </c>
      <c r="J377">
        <v>44</v>
      </c>
      <c r="K377">
        <v>0.318</v>
      </c>
      <c r="L377">
        <v>4</v>
      </c>
      <c r="M377">
        <v>22</v>
      </c>
      <c r="N377">
        <v>0.182</v>
      </c>
      <c r="O377">
        <v>10</v>
      </c>
      <c r="P377">
        <v>22</v>
      </c>
      <c r="Q377">
        <v>0.45500000000000002</v>
      </c>
      <c r="R377">
        <v>0.36399999999999999</v>
      </c>
      <c r="S377">
        <v>5</v>
      </c>
      <c r="T377">
        <v>16</v>
      </c>
      <c r="U377">
        <v>0.313</v>
      </c>
      <c r="V377">
        <v>5</v>
      </c>
      <c r="W377">
        <v>26</v>
      </c>
      <c r="X377">
        <v>31</v>
      </c>
      <c r="Y377">
        <v>17</v>
      </c>
      <c r="Z377">
        <v>9</v>
      </c>
      <c r="AA377">
        <v>2</v>
      </c>
      <c r="AB377">
        <v>9</v>
      </c>
      <c r="AC377">
        <v>14</v>
      </c>
      <c r="AD377">
        <v>37</v>
      </c>
    </row>
    <row r="378" spans="1:30" x14ac:dyDescent="0.3">
      <c r="A378">
        <v>295</v>
      </c>
      <c r="B378" t="s">
        <v>2288</v>
      </c>
      <c r="C378" t="s">
        <v>1981</v>
      </c>
      <c r="D378">
        <v>36</v>
      </c>
      <c r="E378" t="s">
        <v>1984</v>
      </c>
      <c r="F378">
        <v>57</v>
      </c>
      <c r="G378">
        <v>24</v>
      </c>
      <c r="H378">
        <v>1101</v>
      </c>
      <c r="I378">
        <v>119</v>
      </c>
      <c r="J378">
        <v>267</v>
      </c>
      <c r="K378">
        <v>0.44600000000000001</v>
      </c>
      <c r="L378">
        <v>12</v>
      </c>
      <c r="M378">
        <v>46</v>
      </c>
      <c r="N378">
        <v>0.26100000000000001</v>
      </c>
      <c r="O378">
        <v>107</v>
      </c>
      <c r="P378">
        <v>221</v>
      </c>
      <c r="Q378">
        <v>0.48399999999999999</v>
      </c>
      <c r="R378">
        <v>0.46800000000000003</v>
      </c>
      <c r="S378">
        <v>26</v>
      </c>
      <c r="T378">
        <v>34</v>
      </c>
      <c r="U378">
        <v>0.76500000000000001</v>
      </c>
      <c r="V378">
        <v>64</v>
      </c>
      <c r="W378">
        <v>138</v>
      </c>
      <c r="X378">
        <v>202</v>
      </c>
      <c r="Y378">
        <v>51</v>
      </c>
      <c r="Z378">
        <v>27</v>
      </c>
      <c r="AA378">
        <v>27</v>
      </c>
      <c r="AB378">
        <v>33</v>
      </c>
      <c r="AC378">
        <v>58</v>
      </c>
      <c r="AD378">
        <v>276</v>
      </c>
    </row>
    <row r="379" spans="1:30" x14ac:dyDescent="0.3">
      <c r="A379">
        <v>296</v>
      </c>
      <c r="B379" t="s">
        <v>2289</v>
      </c>
      <c r="C379" t="s">
        <v>2004</v>
      </c>
      <c r="D379">
        <v>23</v>
      </c>
      <c r="E379" t="s">
        <v>1993</v>
      </c>
      <c r="F379">
        <v>28</v>
      </c>
      <c r="G379">
        <v>3</v>
      </c>
      <c r="H379">
        <v>417</v>
      </c>
      <c r="I379">
        <v>46</v>
      </c>
      <c r="J379">
        <v>101</v>
      </c>
      <c r="K379">
        <v>0.45500000000000002</v>
      </c>
      <c r="L379">
        <v>18</v>
      </c>
      <c r="M379">
        <v>46</v>
      </c>
      <c r="N379">
        <v>0.39100000000000001</v>
      </c>
      <c r="O379">
        <v>28</v>
      </c>
      <c r="P379">
        <v>55</v>
      </c>
      <c r="Q379">
        <v>0.50900000000000001</v>
      </c>
      <c r="R379">
        <v>0.54500000000000004</v>
      </c>
      <c r="S379">
        <v>8</v>
      </c>
      <c r="T379">
        <v>9</v>
      </c>
      <c r="U379">
        <v>0.88900000000000001</v>
      </c>
      <c r="V379">
        <v>2</v>
      </c>
      <c r="W379">
        <v>26</v>
      </c>
      <c r="X379">
        <v>28</v>
      </c>
      <c r="Y379">
        <v>86</v>
      </c>
      <c r="Z379">
        <v>21</v>
      </c>
      <c r="AA379">
        <v>0</v>
      </c>
      <c r="AB379">
        <v>35</v>
      </c>
      <c r="AC379">
        <v>26</v>
      </c>
      <c r="AD379">
        <v>118</v>
      </c>
    </row>
    <row r="380" spans="1:30" x14ac:dyDescent="0.3">
      <c r="A380">
        <v>297</v>
      </c>
      <c r="B380" t="s">
        <v>2290</v>
      </c>
      <c r="C380" t="s">
        <v>1981</v>
      </c>
      <c r="D380">
        <v>30</v>
      </c>
      <c r="E380" t="s">
        <v>1996</v>
      </c>
      <c r="F380">
        <v>23</v>
      </c>
      <c r="G380">
        <v>0</v>
      </c>
      <c r="H380">
        <v>198</v>
      </c>
      <c r="I380">
        <v>15</v>
      </c>
      <c r="J380">
        <v>53</v>
      </c>
      <c r="K380">
        <v>0.28299999999999997</v>
      </c>
      <c r="L380">
        <v>6</v>
      </c>
      <c r="M380">
        <v>33</v>
      </c>
      <c r="N380">
        <v>0.182</v>
      </c>
      <c r="O380">
        <v>9</v>
      </c>
      <c r="P380">
        <v>20</v>
      </c>
      <c r="Q380">
        <v>0.45</v>
      </c>
      <c r="R380">
        <v>0.34</v>
      </c>
      <c r="S380">
        <v>0</v>
      </c>
      <c r="T380">
        <v>0</v>
      </c>
      <c r="V380">
        <v>0</v>
      </c>
      <c r="W380">
        <v>20</v>
      </c>
      <c r="X380">
        <v>20</v>
      </c>
      <c r="Y380">
        <v>11</v>
      </c>
      <c r="Z380">
        <v>3</v>
      </c>
      <c r="AA380">
        <v>1</v>
      </c>
      <c r="AB380">
        <v>5</v>
      </c>
      <c r="AC380">
        <v>20</v>
      </c>
      <c r="AD380">
        <v>36</v>
      </c>
    </row>
    <row r="381" spans="1:30" x14ac:dyDescent="0.3">
      <c r="A381">
        <v>298</v>
      </c>
      <c r="B381" t="s">
        <v>2291</v>
      </c>
      <c r="C381" t="s">
        <v>1956</v>
      </c>
      <c r="D381">
        <v>37</v>
      </c>
      <c r="E381" t="s">
        <v>1993</v>
      </c>
      <c r="F381">
        <v>11</v>
      </c>
      <c r="G381">
        <v>0</v>
      </c>
      <c r="H381">
        <v>104</v>
      </c>
      <c r="I381">
        <v>9</v>
      </c>
      <c r="J381">
        <v>22</v>
      </c>
      <c r="K381">
        <v>0.40899999999999997</v>
      </c>
      <c r="L381">
        <v>0</v>
      </c>
      <c r="M381">
        <v>0</v>
      </c>
      <c r="O381">
        <v>9</v>
      </c>
      <c r="P381">
        <v>22</v>
      </c>
      <c r="Q381">
        <v>0.40899999999999997</v>
      </c>
      <c r="R381">
        <v>0.40899999999999997</v>
      </c>
      <c r="S381">
        <v>2</v>
      </c>
      <c r="T381">
        <v>2</v>
      </c>
      <c r="U381">
        <v>1</v>
      </c>
      <c r="V381">
        <v>6</v>
      </c>
      <c r="W381">
        <v>13</v>
      </c>
      <c r="X381">
        <v>19</v>
      </c>
      <c r="Y381">
        <v>5</v>
      </c>
      <c r="Z381">
        <v>5</v>
      </c>
      <c r="AA381">
        <v>6</v>
      </c>
      <c r="AB381">
        <v>3</v>
      </c>
      <c r="AC381">
        <v>13</v>
      </c>
      <c r="AD381">
        <v>20</v>
      </c>
    </row>
    <row r="382" spans="1:30" x14ac:dyDescent="0.3">
      <c r="A382">
        <v>299</v>
      </c>
      <c r="B382" t="s">
        <v>2292</v>
      </c>
      <c r="C382" t="s">
        <v>1961</v>
      </c>
      <c r="D382">
        <v>31</v>
      </c>
      <c r="E382" t="s">
        <v>1966</v>
      </c>
      <c r="F382">
        <v>39</v>
      </c>
      <c r="G382">
        <v>36</v>
      </c>
      <c r="H382">
        <v>1302</v>
      </c>
      <c r="I382">
        <v>267</v>
      </c>
      <c r="J382">
        <v>625</v>
      </c>
      <c r="K382">
        <v>0.42699999999999999</v>
      </c>
      <c r="L382">
        <v>75</v>
      </c>
      <c r="M382">
        <v>191</v>
      </c>
      <c r="N382">
        <v>0.39300000000000002</v>
      </c>
      <c r="O382">
        <v>192</v>
      </c>
      <c r="P382">
        <v>434</v>
      </c>
      <c r="Q382">
        <v>0.442</v>
      </c>
      <c r="R382">
        <v>0.48699999999999999</v>
      </c>
      <c r="S382">
        <v>170</v>
      </c>
      <c r="T382">
        <v>193</v>
      </c>
      <c r="U382">
        <v>0.88100000000000001</v>
      </c>
      <c r="V382">
        <v>19</v>
      </c>
      <c r="W382">
        <v>123</v>
      </c>
      <c r="X382">
        <v>142</v>
      </c>
      <c r="Y382">
        <v>89</v>
      </c>
      <c r="Z382">
        <v>33</v>
      </c>
      <c r="AA382">
        <v>1</v>
      </c>
      <c r="AB382">
        <v>76</v>
      </c>
      <c r="AC382">
        <v>76</v>
      </c>
      <c r="AD382">
        <v>779</v>
      </c>
    </row>
    <row r="383" spans="1:30" x14ac:dyDescent="0.3">
      <c r="A383">
        <v>300</v>
      </c>
      <c r="B383" t="s">
        <v>2293</v>
      </c>
      <c r="C383" t="s">
        <v>1961</v>
      </c>
      <c r="D383">
        <v>28</v>
      </c>
      <c r="E383" t="s">
        <v>1970</v>
      </c>
      <c r="F383">
        <v>60</v>
      </c>
      <c r="G383">
        <v>60</v>
      </c>
      <c r="H383">
        <v>2024</v>
      </c>
      <c r="I383">
        <v>337</v>
      </c>
      <c r="J383">
        <v>752</v>
      </c>
      <c r="K383">
        <v>0.44800000000000001</v>
      </c>
      <c r="L383">
        <v>173</v>
      </c>
      <c r="M383">
        <v>445</v>
      </c>
      <c r="N383">
        <v>0.38900000000000001</v>
      </c>
      <c r="O383">
        <v>164</v>
      </c>
      <c r="P383">
        <v>307</v>
      </c>
      <c r="Q383">
        <v>0.53400000000000003</v>
      </c>
      <c r="R383">
        <v>0.56299999999999994</v>
      </c>
      <c r="S383">
        <v>109</v>
      </c>
      <c r="T383">
        <v>145</v>
      </c>
      <c r="U383">
        <v>0.752</v>
      </c>
      <c r="V383">
        <v>38</v>
      </c>
      <c r="W383">
        <v>184</v>
      </c>
      <c r="X383">
        <v>222</v>
      </c>
      <c r="Y383">
        <v>139</v>
      </c>
      <c r="Z383">
        <v>77</v>
      </c>
      <c r="AA383">
        <v>10</v>
      </c>
      <c r="AB383">
        <v>81</v>
      </c>
      <c r="AC383">
        <v>132</v>
      </c>
      <c r="AD383">
        <v>956</v>
      </c>
    </row>
    <row r="384" spans="1:30" x14ac:dyDescent="0.3">
      <c r="A384" t="s">
        <v>1929</v>
      </c>
      <c r="B384" t="s">
        <v>1930</v>
      </c>
      <c r="C384" t="s">
        <v>1931</v>
      </c>
      <c r="D384" t="s">
        <v>198</v>
      </c>
      <c r="E384" t="s">
        <v>1932</v>
      </c>
      <c r="F384" t="s">
        <v>1933</v>
      </c>
      <c r="G384" t="s">
        <v>1934</v>
      </c>
      <c r="H384" t="s">
        <v>1935</v>
      </c>
      <c r="I384" t="s">
        <v>1936</v>
      </c>
      <c r="J384" t="s">
        <v>1937</v>
      </c>
      <c r="K384" t="s">
        <v>1938</v>
      </c>
      <c r="L384" t="s">
        <v>1939</v>
      </c>
      <c r="M384" t="s">
        <v>1940</v>
      </c>
      <c r="N384" t="s">
        <v>1941</v>
      </c>
      <c r="O384" t="s">
        <v>1942</v>
      </c>
      <c r="P384" t="s">
        <v>1943</v>
      </c>
      <c r="Q384" t="s">
        <v>1944</v>
      </c>
      <c r="R384" t="s">
        <v>1945</v>
      </c>
      <c r="S384" t="s">
        <v>1946</v>
      </c>
      <c r="T384" t="s">
        <v>1947</v>
      </c>
      <c r="U384" t="s">
        <v>1948</v>
      </c>
      <c r="V384" t="s">
        <v>1949</v>
      </c>
      <c r="W384" t="s">
        <v>1950</v>
      </c>
      <c r="X384" t="s">
        <v>1951</v>
      </c>
      <c r="Y384" t="s">
        <v>1952</v>
      </c>
      <c r="Z384" t="s">
        <v>1953</v>
      </c>
      <c r="AA384" t="s">
        <v>1954</v>
      </c>
      <c r="AB384" t="s">
        <v>1955</v>
      </c>
      <c r="AC384" t="s">
        <v>1956</v>
      </c>
      <c r="AD384" t="s">
        <v>1957</v>
      </c>
    </row>
    <row r="385" spans="1:30" x14ac:dyDescent="0.3">
      <c r="A385">
        <v>301</v>
      </c>
      <c r="B385" t="s">
        <v>2294</v>
      </c>
      <c r="C385" t="s">
        <v>1956</v>
      </c>
      <c r="D385">
        <v>31</v>
      </c>
      <c r="E385" t="s">
        <v>2036</v>
      </c>
      <c r="F385">
        <v>61</v>
      </c>
      <c r="G385">
        <v>0</v>
      </c>
      <c r="H385">
        <v>878</v>
      </c>
      <c r="I385">
        <v>81</v>
      </c>
      <c r="J385">
        <v>192</v>
      </c>
      <c r="K385">
        <v>0.42199999999999999</v>
      </c>
      <c r="L385">
        <v>0</v>
      </c>
      <c r="M385">
        <v>0</v>
      </c>
      <c r="O385">
        <v>81</v>
      </c>
      <c r="P385">
        <v>192</v>
      </c>
      <c r="Q385">
        <v>0.42199999999999999</v>
      </c>
      <c r="R385">
        <v>0.42199999999999999</v>
      </c>
      <c r="S385">
        <v>41</v>
      </c>
      <c r="T385">
        <v>71</v>
      </c>
      <c r="U385">
        <v>0.57699999999999996</v>
      </c>
      <c r="V385">
        <v>86</v>
      </c>
      <c r="W385">
        <v>117</v>
      </c>
      <c r="X385">
        <v>203</v>
      </c>
      <c r="Y385">
        <v>19</v>
      </c>
      <c r="Z385">
        <v>18</v>
      </c>
      <c r="AA385">
        <v>44</v>
      </c>
      <c r="AB385">
        <v>29</v>
      </c>
      <c r="AC385">
        <v>96</v>
      </c>
      <c r="AD385">
        <v>203</v>
      </c>
    </row>
    <row r="386" spans="1:30" x14ac:dyDescent="0.3">
      <c r="A386">
        <v>302</v>
      </c>
      <c r="B386" t="s">
        <v>2295</v>
      </c>
      <c r="C386" t="s">
        <v>1961</v>
      </c>
      <c r="D386">
        <v>27</v>
      </c>
      <c r="E386" t="s">
        <v>1993</v>
      </c>
      <c r="F386">
        <v>71</v>
      </c>
      <c r="G386">
        <v>15</v>
      </c>
      <c r="H386">
        <v>1697</v>
      </c>
      <c r="I386">
        <v>296</v>
      </c>
      <c r="J386">
        <v>701</v>
      </c>
      <c r="K386">
        <v>0.42199999999999999</v>
      </c>
      <c r="L386">
        <v>99</v>
      </c>
      <c r="M386">
        <v>277</v>
      </c>
      <c r="N386">
        <v>0.35699999999999998</v>
      </c>
      <c r="O386">
        <v>197</v>
      </c>
      <c r="P386">
        <v>424</v>
      </c>
      <c r="Q386">
        <v>0.46500000000000002</v>
      </c>
      <c r="R386">
        <v>0.49299999999999999</v>
      </c>
      <c r="S386">
        <v>115</v>
      </c>
      <c r="T386">
        <v>139</v>
      </c>
      <c r="U386">
        <v>0.82699999999999996</v>
      </c>
      <c r="V386">
        <v>30</v>
      </c>
      <c r="W386">
        <v>157</v>
      </c>
      <c r="X386">
        <v>187</v>
      </c>
      <c r="Y386">
        <v>197</v>
      </c>
      <c r="Z386">
        <v>57</v>
      </c>
      <c r="AA386">
        <v>18</v>
      </c>
      <c r="AB386">
        <v>128</v>
      </c>
      <c r="AC386">
        <v>165</v>
      </c>
      <c r="AD386">
        <v>806</v>
      </c>
    </row>
    <row r="387" spans="1:30" x14ac:dyDescent="0.3">
      <c r="A387">
        <v>303</v>
      </c>
      <c r="B387" t="s">
        <v>2296</v>
      </c>
      <c r="C387" t="s">
        <v>1956</v>
      </c>
      <c r="D387">
        <v>28</v>
      </c>
      <c r="E387" t="s">
        <v>1974</v>
      </c>
      <c r="F387">
        <v>67</v>
      </c>
      <c r="G387">
        <v>61</v>
      </c>
      <c r="H387">
        <v>1916</v>
      </c>
      <c r="I387">
        <v>251</v>
      </c>
      <c r="J387">
        <v>636</v>
      </c>
      <c r="K387">
        <v>0.39500000000000002</v>
      </c>
      <c r="L387">
        <v>62</v>
      </c>
      <c r="M387">
        <v>202</v>
      </c>
      <c r="N387">
        <v>0.307</v>
      </c>
      <c r="O387">
        <v>189</v>
      </c>
      <c r="P387">
        <v>434</v>
      </c>
      <c r="Q387">
        <v>0.435</v>
      </c>
      <c r="R387">
        <v>0.443</v>
      </c>
      <c r="S387">
        <v>96</v>
      </c>
      <c r="T387">
        <v>163</v>
      </c>
      <c r="U387">
        <v>0.58899999999999997</v>
      </c>
      <c r="V387">
        <v>82</v>
      </c>
      <c r="W387">
        <v>246</v>
      </c>
      <c r="X387">
        <v>328</v>
      </c>
      <c r="Y387">
        <v>106</v>
      </c>
      <c r="Z387">
        <v>81</v>
      </c>
      <c r="AA387">
        <v>21</v>
      </c>
      <c r="AB387">
        <v>99</v>
      </c>
      <c r="AC387">
        <v>104</v>
      </c>
      <c r="AD387">
        <v>660</v>
      </c>
    </row>
    <row r="388" spans="1:30" x14ac:dyDescent="0.3">
      <c r="A388">
        <v>304</v>
      </c>
      <c r="B388" t="s">
        <v>2297</v>
      </c>
      <c r="C388" t="s">
        <v>1956</v>
      </c>
      <c r="D388">
        <v>22</v>
      </c>
      <c r="E388" t="s">
        <v>2010</v>
      </c>
      <c r="F388">
        <v>15</v>
      </c>
      <c r="G388">
        <v>0</v>
      </c>
      <c r="H388">
        <v>137</v>
      </c>
      <c r="I388">
        <v>24</v>
      </c>
      <c r="J388">
        <v>44</v>
      </c>
      <c r="K388">
        <v>0.54500000000000004</v>
      </c>
      <c r="L388">
        <v>0</v>
      </c>
      <c r="M388">
        <v>0</v>
      </c>
      <c r="O388">
        <v>24</v>
      </c>
      <c r="P388">
        <v>44</v>
      </c>
      <c r="Q388">
        <v>0.54500000000000004</v>
      </c>
      <c r="R388">
        <v>0.54500000000000004</v>
      </c>
      <c r="S388">
        <v>14</v>
      </c>
      <c r="T388">
        <v>25</v>
      </c>
      <c r="U388">
        <v>0.56000000000000005</v>
      </c>
      <c r="V388">
        <v>15</v>
      </c>
      <c r="W388">
        <v>22</v>
      </c>
      <c r="X388">
        <v>37</v>
      </c>
      <c r="Y388">
        <v>2</v>
      </c>
      <c r="Z388">
        <v>5</v>
      </c>
      <c r="AA388">
        <v>9</v>
      </c>
      <c r="AB388">
        <v>6</v>
      </c>
      <c r="AC388">
        <v>21</v>
      </c>
      <c r="AD388">
        <v>62</v>
      </c>
    </row>
    <row r="389" spans="1:30" x14ac:dyDescent="0.3">
      <c r="A389">
        <v>305</v>
      </c>
      <c r="B389" t="s">
        <v>2298</v>
      </c>
      <c r="C389" t="s">
        <v>2004</v>
      </c>
      <c r="D389">
        <v>23</v>
      </c>
      <c r="E389" t="s">
        <v>2034</v>
      </c>
      <c r="F389">
        <v>68</v>
      </c>
      <c r="G389">
        <v>30</v>
      </c>
      <c r="H389">
        <v>1436</v>
      </c>
      <c r="I389">
        <v>206</v>
      </c>
      <c r="J389">
        <v>470</v>
      </c>
      <c r="K389">
        <v>0.438</v>
      </c>
      <c r="L389">
        <v>34</v>
      </c>
      <c r="M389">
        <v>111</v>
      </c>
      <c r="N389">
        <v>0.30599999999999999</v>
      </c>
      <c r="O389">
        <v>172</v>
      </c>
      <c r="P389">
        <v>359</v>
      </c>
      <c r="Q389">
        <v>0.47899999999999998</v>
      </c>
      <c r="R389">
        <v>0.47399999999999998</v>
      </c>
      <c r="S389">
        <v>57</v>
      </c>
      <c r="T389">
        <v>84</v>
      </c>
      <c r="U389">
        <v>0.67900000000000005</v>
      </c>
      <c r="V389">
        <v>52</v>
      </c>
      <c r="W389">
        <v>128</v>
      </c>
      <c r="X389">
        <v>180</v>
      </c>
      <c r="Y389">
        <v>188</v>
      </c>
      <c r="Z389">
        <v>45</v>
      </c>
      <c r="AA389">
        <v>11</v>
      </c>
      <c r="AB389">
        <v>85</v>
      </c>
      <c r="AC389">
        <v>92</v>
      </c>
      <c r="AD389">
        <v>503</v>
      </c>
    </row>
    <row r="390" spans="1:30" x14ac:dyDescent="0.3">
      <c r="A390">
        <v>306</v>
      </c>
      <c r="B390" t="s">
        <v>2299</v>
      </c>
      <c r="C390" t="s">
        <v>1961</v>
      </c>
      <c r="D390">
        <v>23</v>
      </c>
      <c r="E390" t="s">
        <v>1970</v>
      </c>
      <c r="F390">
        <v>62</v>
      </c>
      <c r="G390">
        <v>3</v>
      </c>
      <c r="H390">
        <v>973</v>
      </c>
      <c r="I390">
        <v>159</v>
      </c>
      <c r="J390">
        <v>365</v>
      </c>
      <c r="K390">
        <v>0.436</v>
      </c>
      <c r="L390">
        <v>55</v>
      </c>
      <c r="M390">
        <v>139</v>
      </c>
      <c r="N390">
        <v>0.39600000000000002</v>
      </c>
      <c r="O390">
        <v>104</v>
      </c>
      <c r="P390">
        <v>226</v>
      </c>
      <c r="Q390">
        <v>0.46</v>
      </c>
      <c r="R390">
        <v>0.51100000000000001</v>
      </c>
      <c r="S390">
        <v>51</v>
      </c>
      <c r="T390">
        <v>73</v>
      </c>
      <c r="U390">
        <v>0.69899999999999995</v>
      </c>
      <c r="V390">
        <v>14</v>
      </c>
      <c r="W390">
        <v>77</v>
      </c>
      <c r="X390">
        <v>91</v>
      </c>
      <c r="Y390">
        <v>64</v>
      </c>
      <c r="Z390">
        <v>43</v>
      </c>
      <c r="AA390">
        <v>8</v>
      </c>
      <c r="AB390">
        <v>48</v>
      </c>
      <c r="AC390">
        <v>81</v>
      </c>
      <c r="AD390">
        <v>424</v>
      </c>
    </row>
    <row r="391" spans="1:30" x14ac:dyDescent="0.3">
      <c r="A391">
        <v>307</v>
      </c>
      <c r="B391" t="s">
        <v>2300</v>
      </c>
      <c r="C391" t="s">
        <v>1961</v>
      </c>
      <c r="D391">
        <v>21</v>
      </c>
      <c r="E391" t="s">
        <v>1968</v>
      </c>
      <c r="F391">
        <v>62</v>
      </c>
      <c r="G391">
        <v>15</v>
      </c>
      <c r="H391">
        <v>1352</v>
      </c>
      <c r="I391">
        <v>172</v>
      </c>
      <c r="J391">
        <v>434</v>
      </c>
      <c r="K391">
        <v>0.39600000000000002</v>
      </c>
      <c r="L391">
        <v>43</v>
      </c>
      <c r="M391">
        <v>150</v>
      </c>
      <c r="N391">
        <v>0.28699999999999998</v>
      </c>
      <c r="O391">
        <v>129</v>
      </c>
      <c r="P391">
        <v>284</v>
      </c>
      <c r="Q391">
        <v>0.45400000000000001</v>
      </c>
      <c r="R391">
        <v>0.44600000000000001</v>
      </c>
      <c r="S391">
        <v>100</v>
      </c>
      <c r="T391">
        <v>133</v>
      </c>
      <c r="U391">
        <v>0.752</v>
      </c>
      <c r="V391">
        <v>65</v>
      </c>
      <c r="W391">
        <v>135</v>
      </c>
      <c r="X391">
        <v>200</v>
      </c>
      <c r="Y391">
        <v>72</v>
      </c>
      <c r="Z391">
        <v>44</v>
      </c>
      <c r="AA391">
        <v>70</v>
      </c>
      <c r="AB391">
        <v>105</v>
      </c>
      <c r="AC391">
        <v>126</v>
      </c>
      <c r="AD391">
        <v>487</v>
      </c>
    </row>
    <row r="392" spans="1:30" x14ac:dyDescent="0.3">
      <c r="A392">
        <v>307</v>
      </c>
      <c r="B392" t="s">
        <v>2300</v>
      </c>
      <c r="C392" t="s">
        <v>1961</v>
      </c>
      <c r="D392">
        <v>21</v>
      </c>
      <c r="E392" t="s">
        <v>1974</v>
      </c>
      <c r="F392">
        <v>52</v>
      </c>
      <c r="G392">
        <v>15</v>
      </c>
      <c r="H392">
        <v>1319</v>
      </c>
      <c r="I392">
        <v>167</v>
      </c>
      <c r="J392">
        <v>419</v>
      </c>
      <c r="K392">
        <v>0.39900000000000002</v>
      </c>
      <c r="L392">
        <v>43</v>
      </c>
      <c r="M392">
        <v>147</v>
      </c>
      <c r="N392">
        <v>0.29299999999999998</v>
      </c>
      <c r="O392">
        <v>124</v>
      </c>
      <c r="P392">
        <v>272</v>
      </c>
      <c r="Q392">
        <v>0.45600000000000002</v>
      </c>
      <c r="R392">
        <v>0.45</v>
      </c>
      <c r="S392">
        <v>99</v>
      </c>
      <c r="T392">
        <v>131</v>
      </c>
      <c r="U392">
        <v>0.75600000000000001</v>
      </c>
      <c r="V392">
        <v>64</v>
      </c>
      <c r="W392">
        <v>131</v>
      </c>
      <c r="X392">
        <v>195</v>
      </c>
      <c r="Y392">
        <v>70</v>
      </c>
      <c r="Z392">
        <v>44</v>
      </c>
      <c r="AA392">
        <v>68</v>
      </c>
      <c r="AB392">
        <v>104</v>
      </c>
      <c r="AC392">
        <v>121</v>
      </c>
      <c r="AD392">
        <v>476</v>
      </c>
    </row>
    <row r="393" spans="1:30" x14ac:dyDescent="0.3">
      <c r="A393">
        <v>307</v>
      </c>
      <c r="B393" t="s">
        <v>2300</v>
      </c>
      <c r="C393" t="s">
        <v>1961</v>
      </c>
      <c r="D393">
        <v>21</v>
      </c>
      <c r="E393" t="s">
        <v>2000</v>
      </c>
      <c r="F393">
        <v>10</v>
      </c>
      <c r="G393">
        <v>0</v>
      </c>
      <c r="H393">
        <v>33</v>
      </c>
      <c r="I393">
        <v>5</v>
      </c>
      <c r="J393">
        <v>15</v>
      </c>
      <c r="K393">
        <v>0.33300000000000002</v>
      </c>
      <c r="L393">
        <v>0</v>
      </c>
      <c r="M393">
        <v>3</v>
      </c>
      <c r="N393">
        <v>0</v>
      </c>
      <c r="O393">
        <v>5</v>
      </c>
      <c r="P393">
        <v>12</v>
      </c>
      <c r="Q393">
        <v>0.41699999999999998</v>
      </c>
      <c r="R393">
        <v>0.33300000000000002</v>
      </c>
      <c r="S393">
        <v>1</v>
      </c>
      <c r="T393">
        <v>2</v>
      </c>
      <c r="U393">
        <v>0.5</v>
      </c>
      <c r="V393">
        <v>1</v>
      </c>
      <c r="W393">
        <v>4</v>
      </c>
      <c r="X393">
        <v>5</v>
      </c>
      <c r="Y393">
        <v>2</v>
      </c>
      <c r="Z393">
        <v>0</v>
      </c>
      <c r="AA393">
        <v>2</v>
      </c>
      <c r="AB393">
        <v>1</v>
      </c>
      <c r="AC393">
        <v>5</v>
      </c>
      <c r="AD393">
        <v>11</v>
      </c>
    </row>
    <row r="394" spans="1:30" x14ac:dyDescent="0.3">
      <c r="A394">
        <v>308</v>
      </c>
      <c r="B394" t="s">
        <v>2301</v>
      </c>
      <c r="C394" t="s">
        <v>1981</v>
      </c>
      <c r="D394">
        <v>23</v>
      </c>
      <c r="E394" t="s">
        <v>2008</v>
      </c>
      <c r="F394">
        <v>36</v>
      </c>
      <c r="G394">
        <v>0</v>
      </c>
      <c r="H394">
        <v>321</v>
      </c>
      <c r="I394">
        <v>43</v>
      </c>
      <c r="J394">
        <v>107</v>
      </c>
      <c r="K394">
        <v>0.40200000000000002</v>
      </c>
      <c r="L394">
        <v>13</v>
      </c>
      <c r="M394">
        <v>41</v>
      </c>
      <c r="N394">
        <v>0.317</v>
      </c>
      <c r="O394">
        <v>30</v>
      </c>
      <c r="P394">
        <v>66</v>
      </c>
      <c r="Q394">
        <v>0.45500000000000002</v>
      </c>
      <c r="R394">
        <v>0.46300000000000002</v>
      </c>
      <c r="S394">
        <v>10</v>
      </c>
      <c r="T394">
        <v>15</v>
      </c>
      <c r="U394">
        <v>0.66700000000000004</v>
      </c>
      <c r="V394">
        <v>6</v>
      </c>
      <c r="W394">
        <v>37</v>
      </c>
      <c r="X394">
        <v>43</v>
      </c>
      <c r="Y394">
        <v>6</v>
      </c>
      <c r="Z394">
        <v>4</v>
      </c>
      <c r="AA394">
        <v>1</v>
      </c>
      <c r="AB394">
        <v>17</v>
      </c>
      <c r="AC394">
        <v>29</v>
      </c>
      <c r="AD394">
        <v>109</v>
      </c>
    </row>
    <row r="395" spans="1:30" x14ac:dyDescent="0.3">
      <c r="A395">
        <v>309</v>
      </c>
      <c r="B395" t="s">
        <v>2302</v>
      </c>
      <c r="C395" t="s">
        <v>1956</v>
      </c>
      <c r="D395">
        <v>22</v>
      </c>
      <c r="E395" t="s">
        <v>1964</v>
      </c>
      <c r="F395">
        <v>32</v>
      </c>
      <c r="G395">
        <v>2</v>
      </c>
      <c r="H395">
        <v>485</v>
      </c>
      <c r="I395">
        <v>88</v>
      </c>
      <c r="J395">
        <v>165</v>
      </c>
      <c r="K395">
        <v>0.53300000000000003</v>
      </c>
      <c r="L395">
        <v>0</v>
      </c>
      <c r="M395">
        <v>2</v>
      </c>
      <c r="N395">
        <v>0</v>
      </c>
      <c r="O395">
        <v>88</v>
      </c>
      <c r="P395">
        <v>163</v>
      </c>
      <c r="Q395">
        <v>0.54</v>
      </c>
      <c r="R395">
        <v>0.53300000000000003</v>
      </c>
      <c r="S395">
        <v>25</v>
      </c>
      <c r="T395">
        <v>40</v>
      </c>
      <c r="U395">
        <v>0.625</v>
      </c>
      <c r="V395">
        <v>53</v>
      </c>
      <c r="W395">
        <v>112</v>
      </c>
      <c r="X395">
        <v>165</v>
      </c>
      <c r="Y395">
        <v>14</v>
      </c>
      <c r="Z395">
        <v>16</v>
      </c>
      <c r="AA395">
        <v>16</v>
      </c>
      <c r="AB395">
        <v>31</v>
      </c>
      <c r="AC395">
        <v>72</v>
      </c>
      <c r="AD395">
        <v>201</v>
      </c>
    </row>
    <row r="396" spans="1:30" x14ac:dyDescent="0.3">
      <c r="A396">
        <v>310</v>
      </c>
      <c r="B396" t="s">
        <v>2303</v>
      </c>
      <c r="C396" t="s">
        <v>213</v>
      </c>
      <c r="D396">
        <v>27</v>
      </c>
      <c r="E396" t="s">
        <v>1968</v>
      </c>
      <c r="F396">
        <v>23</v>
      </c>
      <c r="G396">
        <v>0</v>
      </c>
      <c r="H396">
        <v>256</v>
      </c>
      <c r="I396">
        <v>42</v>
      </c>
      <c r="J396">
        <v>79</v>
      </c>
      <c r="K396">
        <v>0.53200000000000003</v>
      </c>
      <c r="L396">
        <v>0</v>
      </c>
      <c r="M396">
        <v>0</v>
      </c>
      <c r="O396">
        <v>42</v>
      </c>
      <c r="P396">
        <v>79</v>
      </c>
      <c r="Q396">
        <v>0.53200000000000003</v>
      </c>
      <c r="R396">
        <v>0.53200000000000003</v>
      </c>
      <c r="S396">
        <v>22</v>
      </c>
      <c r="T396">
        <v>33</v>
      </c>
      <c r="U396">
        <v>0.66700000000000004</v>
      </c>
      <c r="V396">
        <v>18</v>
      </c>
      <c r="W396">
        <v>43</v>
      </c>
      <c r="X396">
        <v>61</v>
      </c>
      <c r="Y396">
        <v>3</v>
      </c>
      <c r="Z396">
        <v>2</v>
      </c>
      <c r="AA396">
        <v>20</v>
      </c>
      <c r="AB396">
        <v>18</v>
      </c>
      <c r="AC396">
        <v>30</v>
      </c>
      <c r="AD396">
        <v>106</v>
      </c>
    </row>
    <row r="397" spans="1:30" x14ac:dyDescent="0.3">
      <c r="A397">
        <v>310</v>
      </c>
      <c r="B397" t="s">
        <v>2303</v>
      </c>
      <c r="C397" t="s">
        <v>213</v>
      </c>
      <c r="D397">
        <v>27</v>
      </c>
      <c r="E397" t="s">
        <v>1969</v>
      </c>
      <c r="F397">
        <v>17</v>
      </c>
      <c r="G397">
        <v>0</v>
      </c>
      <c r="H397">
        <v>195</v>
      </c>
      <c r="I397">
        <v>34</v>
      </c>
      <c r="J397">
        <v>61</v>
      </c>
      <c r="K397">
        <v>0.55700000000000005</v>
      </c>
      <c r="L397">
        <v>0</v>
      </c>
      <c r="M397">
        <v>0</v>
      </c>
      <c r="O397">
        <v>34</v>
      </c>
      <c r="P397">
        <v>61</v>
      </c>
      <c r="Q397">
        <v>0.55700000000000005</v>
      </c>
      <c r="R397">
        <v>0.55700000000000005</v>
      </c>
      <c r="S397">
        <v>20</v>
      </c>
      <c r="T397">
        <v>29</v>
      </c>
      <c r="U397">
        <v>0.69</v>
      </c>
      <c r="V397">
        <v>14</v>
      </c>
      <c r="W397">
        <v>34</v>
      </c>
      <c r="X397">
        <v>48</v>
      </c>
      <c r="Y397">
        <v>1</v>
      </c>
      <c r="Z397">
        <v>2</v>
      </c>
      <c r="AA397">
        <v>19</v>
      </c>
      <c r="AB397">
        <v>13</v>
      </c>
      <c r="AC397">
        <v>28</v>
      </c>
      <c r="AD397">
        <v>88</v>
      </c>
    </row>
    <row r="398" spans="1:30" x14ac:dyDescent="0.3">
      <c r="A398">
        <v>310</v>
      </c>
      <c r="B398" t="s">
        <v>2303</v>
      </c>
      <c r="C398" t="s">
        <v>213</v>
      </c>
      <c r="D398">
        <v>27</v>
      </c>
      <c r="E398" t="s">
        <v>1974</v>
      </c>
      <c r="F398">
        <v>6</v>
      </c>
      <c r="G398">
        <v>0</v>
      </c>
      <c r="H398">
        <v>61</v>
      </c>
      <c r="I398">
        <v>8</v>
      </c>
      <c r="J398">
        <v>18</v>
      </c>
      <c r="K398">
        <v>0.44400000000000001</v>
      </c>
      <c r="L398">
        <v>0</v>
      </c>
      <c r="M398">
        <v>0</v>
      </c>
      <c r="O398">
        <v>8</v>
      </c>
      <c r="P398">
        <v>18</v>
      </c>
      <c r="Q398">
        <v>0.44400000000000001</v>
      </c>
      <c r="R398">
        <v>0.44400000000000001</v>
      </c>
      <c r="S398">
        <v>2</v>
      </c>
      <c r="T398">
        <v>4</v>
      </c>
      <c r="U398">
        <v>0.5</v>
      </c>
      <c r="V398">
        <v>4</v>
      </c>
      <c r="W398">
        <v>9</v>
      </c>
      <c r="X398">
        <v>13</v>
      </c>
      <c r="Y398">
        <v>2</v>
      </c>
      <c r="Z398">
        <v>0</v>
      </c>
      <c r="AA398">
        <v>1</v>
      </c>
      <c r="AB398">
        <v>5</v>
      </c>
      <c r="AC398">
        <v>2</v>
      </c>
      <c r="AD398">
        <v>18</v>
      </c>
    </row>
    <row r="399" spans="1:30" x14ac:dyDescent="0.3">
      <c r="A399">
        <v>311</v>
      </c>
      <c r="B399" t="s">
        <v>2304</v>
      </c>
      <c r="C399" t="s">
        <v>1961</v>
      </c>
      <c r="D399">
        <v>21</v>
      </c>
      <c r="E399" t="s">
        <v>2034</v>
      </c>
      <c r="F399">
        <v>82</v>
      </c>
      <c r="G399">
        <v>82</v>
      </c>
      <c r="H399">
        <v>2670</v>
      </c>
      <c r="I399">
        <v>363</v>
      </c>
      <c r="J399">
        <v>831</v>
      </c>
      <c r="K399">
        <v>0.437</v>
      </c>
      <c r="L399">
        <v>140</v>
      </c>
      <c r="M399">
        <v>391</v>
      </c>
      <c r="N399">
        <v>0.35799999999999998</v>
      </c>
      <c r="O399">
        <v>223</v>
      </c>
      <c r="P399">
        <v>440</v>
      </c>
      <c r="Q399">
        <v>0.50700000000000001</v>
      </c>
      <c r="R399">
        <v>0.52100000000000002</v>
      </c>
      <c r="S399">
        <v>130</v>
      </c>
      <c r="T399">
        <v>160</v>
      </c>
      <c r="U399">
        <v>0.81299999999999994</v>
      </c>
      <c r="V399">
        <v>31</v>
      </c>
      <c r="W399">
        <v>210</v>
      </c>
      <c r="X399">
        <v>241</v>
      </c>
      <c r="Y399">
        <v>140</v>
      </c>
      <c r="Z399">
        <v>77</v>
      </c>
      <c r="AA399">
        <v>19</v>
      </c>
      <c r="AB399">
        <v>138</v>
      </c>
      <c r="AC399">
        <v>219</v>
      </c>
      <c r="AD399">
        <v>996</v>
      </c>
    </row>
    <row r="400" spans="1:30" x14ac:dyDescent="0.3">
      <c r="A400">
        <v>312</v>
      </c>
      <c r="B400" t="s">
        <v>2305</v>
      </c>
      <c r="C400" t="s">
        <v>2004</v>
      </c>
      <c r="D400">
        <v>27</v>
      </c>
      <c r="E400" t="s">
        <v>2017</v>
      </c>
      <c r="F400">
        <v>6</v>
      </c>
      <c r="G400">
        <v>0</v>
      </c>
      <c r="H400">
        <v>36</v>
      </c>
      <c r="I400">
        <v>3</v>
      </c>
      <c r="J400">
        <v>11</v>
      </c>
      <c r="K400">
        <v>0.27300000000000002</v>
      </c>
      <c r="L400">
        <v>1</v>
      </c>
      <c r="M400">
        <v>2</v>
      </c>
      <c r="N400">
        <v>0.5</v>
      </c>
      <c r="O400">
        <v>2</v>
      </c>
      <c r="P400">
        <v>9</v>
      </c>
      <c r="Q400">
        <v>0.222</v>
      </c>
      <c r="R400">
        <v>0.318</v>
      </c>
      <c r="S400">
        <v>2</v>
      </c>
      <c r="T400">
        <v>2</v>
      </c>
      <c r="U400">
        <v>1</v>
      </c>
      <c r="V400">
        <v>0</v>
      </c>
      <c r="W400">
        <v>3</v>
      </c>
      <c r="X400">
        <v>3</v>
      </c>
      <c r="Y400">
        <v>2</v>
      </c>
      <c r="Z400">
        <v>3</v>
      </c>
      <c r="AA400">
        <v>1</v>
      </c>
      <c r="AB400">
        <v>5</v>
      </c>
      <c r="AC400">
        <v>5</v>
      </c>
      <c r="AD400">
        <v>9</v>
      </c>
    </row>
    <row r="401" spans="1:30" x14ac:dyDescent="0.3">
      <c r="A401">
        <v>313</v>
      </c>
      <c r="B401" t="s">
        <v>2306</v>
      </c>
      <c r="C401" t="s">
        <v>1956</v>
      </c>
      <c r="D401">
        <v>27</v>
      </c>
      <c r="E401" t="s">
        <v>1986</v>
      </c>
      <c r="F401">
        <v>17</v>
      </c>
      <c r="G401">
        <v>4</v>
      </c>
      <c r="H401">
        <v>296</v>
      </c>
      <c r="I401">
        <v>28</v>
      </c>
      <c r="J401">
        <v>53</v>
      </c>
      <c r="K401">
        <v>0.52800000000000002</v>
      </c>
      <c r="L401">
        <v>8</v>
      </c>
      <c r="M401">
        <v>19</v>
      </c>
      <c r="N401">
        <v>0.42099999999999999</v>
      </c>
      <c r="O401">
        <v>20</v>
      </c>
      <c r="P401">
        <v>34</v>
      </c>
      <c r="Q401">
        <v>0.58799999999999997</v>
      </c>
      <c r="R401">
        <v>0.60399999999999998</v>
      </c>
      <c r="S401">
        <v>8</v>
      </c>
      <c r="T401">
        <v>13</v>
      </c>
      <c r="U401">
        <v>0.61499999999999999</v>
      </c>
      <c r="V401">
        <v>7</v>
      </c>
      <c r="W401">
        <v>38</v>
      </c>
      <c r="X401">
        <v>45</v>
      </c>
      <c r="Y401">
        <v>33</v>
      </c>
      <c r="Z401">
        <v>12</v>
      </c>
      <c r="AA401">
        <v>3</v>
      </c>
      <c r="AB401">
        <v>22</v>
      </c>
      <c r="AC401">
        <v>41</v>
      </c>
      <c r="AD401">
        <v>72</v>
      </c>
    </row>
    <row r="402" spans="1:30" x14ac:dyDescent="0.3">
      <c r="A402">
        <v>314</v>
      </c>
      <c r="B402" t="s">
        <v>2307</v>
      </c>
      <c r="C402" t="s">
        <v>1961</v>
      </c>
      <c r="D402">
        <v>27</v>
      </c>
      <c r="E402" t="s">
        <v>1996</v>
      </c>
      <c r="F402">
        <v>60</v>
      </c>
      <c r="G402">
        <v>0</v>
      </c>
      <c r="H402">
        <v>1462</v>
      </c>
      <c r="I402">
        <v>222</v>
      </c>
      <c r="J402">
        <v>534</v>
      </c>
      <c r="K402">
        <v>0.41599999999999998</v>
      </c>
      <c r="L402">
        <v>74</v>
      </c>
      <c r="M402">
        <v>212</v>
      </c>
      <c r="N402">
        <v>0.34899999999999998</v>
      </c>
      <c r="O402">
        <v>148</v>
      </c>
      <c r="P402">
        <v>322</v>
      </c>
      <c r="Q402">
        <v>0.46</v>
      </c>
      <c r="R402">
        <v>0.48499999999999999</v>
      </c>
      <c r="S402">
        <v>145</v>
      </c>
      <c r="T402">
        <v>160</v>
      </c>
      <c r="U402">
        <v>0.90600000000000003</v>
      </c>
      <c r="V402">
        <v>12</v>
      </c>
      <c r="W402">
        <v>92</v>
      </c>
      <c r="X402">
        <v>104</v>
      </c>
      <c r="Y402">
        <v>79</v>
      </c>
      <c r="Z402">
        <v>59</v>
      </c>
      <c r="AA402">
        <v>6</v>
      </c>
      <c r="AB402">
        <v>57</v>
      </c>
      <c r="AC402">
        <v>76</v>
      </c>
      <c r="AD402">
        <v>663</v>
      </c>
    </row>
    <row r="403" spans="1:30" x14ac:dyDescent="0.3">
      <c r="A403">
        <v>315</v>
      </c>
      <c r="B403" t="s">
        <v>2308</v>
      </c>
      <c r="C403" t="s">
        <v>2004</v>
      </c>
      <c r="D403">
        <v>26</v>
      </c>
      <c r="E403" t="s">
        <v>1972</v>
      </c>
      <c r="F403">
        <v>4</v>
      </c>
      <c r="G403">
        <v>0</v>
      </c>
      <c r="H403">
        <v>43</v>
      </c>
      <c r="I403">
        <v>3</v>
      </c>
      <c r="J403">
        <v>20</v>
      </c>
      <c r="K403">
        <v>0.15</v>
      </c>
      <c r="L403">
        <v>0</v>
      </c>
      <c r="M403">
        <v>3</v>
      </c>
      <c r="N403">
        <v>0</v>
      </c>
      <c r="O403">
        <v>3</v>
      </c>
      <c r="P403">
        <v>17</v>
      </c>
      <c r="Q403">
        <v>0.17599999999999999</v>
      </c>
      <c r="R403">
        <v>0.15</v>
      </c>
      <c r="S403">
        <v>0</v>
      </c>
      <c r="T403">
        <v>0</v>
      </c>
      <c r="V403">
        <v>0</v>
      </c>
      <c r="W403">
        <v>1</v>
      </c>
      <c r="X403">
        <v>1</v>
      </c>
      <c r="Y403">
        <v>13</v>
      </c>
      <c r="Z403">
        <v>2</v>
      </c>
      <c r="AA403">
        <v>0</v>
      </c>
      <c r="AB403">
        <v>2</v>
      </c>
      <c r="AC403">
        <v>1</v>
      </c>
      <c r="AD403">
        <v>6</v>
      </c>
    </row>
    <row r="404" spans="1:30" x14ac:dyDescent="0.3">
      <c r="A404">
        <v>316</v>
      </c>
      <c r="B404" t="s">
        <v>2309</v>
      </c>
      <c r="C404" t="s">
        <v>1981</v>
      </c>
      <c r="D404">
        <v>23</v>
      </c>
      <c r="E404" t="s">
        <v>1993</v>
      </c>
      <c r="F404">
        <v>79</v>
      </c>
      <c r="G404">
        <v>58</v>
      </c>
      <c r="H404">
        <v>2378</v>
      </c>
      <c r="I404">
        <v>406</v>
      </c>
      <c r="J404">
        <v>869</v>
      </c>
      <c r="K404">
        <v>0.46700000000000003</v>
      </c>
      <c r="L404">
        <v>109</v>
      </c>
      <c r="M404">
        <v>268</v>
      </c>
      <c r="N404">
        <v>0.40699999999999997</v>
      </c>
      <c r="O404">
        <v>297</v>
      </c>
      <c r="P404">
        <v>601</v>
      </c>
      <c r="Q404">
        <v>0.49399999999999999</v>
      </c>
      <c r="R404">
        <v>0.53</v>
      </c>
      <c r="S404">
        <v>134</v>
      </c>
      <c r="T404">
        <v>156</v>
      </c>
      <c r="U404">
        <v>0.85899999999999999</v>
      </c>
      <c r="V404">
        <v>48</v>
      </c>
      <c r="W404">
        <v>299</v>
      </c>
      <c r="X404">
        <v>347</v>
      </c>
      <c r="Y404">
        <v>182</v>
      </c>
      <c r="Z404">
        <v>122</v>
      </c>
      <c r="AA404">
        <v>11</v>
      </c>
      <c r="AB404">
        <v>113</v>
      </c>
      <c r="AC404">
        <v>183</v>
      </c>
      <c r="AD404">
        <v>1055</v>
      </c>
    </row>
    <row r="405" spans="1:30" x14ac:dyDescent="0.3">
      <c r="A405">
        <v>317</v>
      </c>
      <c r="B405" t="s">
        <v>2310</v>
      </c>
      <c r="C405" t="s">
        <v>1961</v>
      </c>
      <c r="D405">
        <v>27</v>
      </c>
      <c r="E405" t="s">
        <v>1978</v>
      </c>
      <c r="F405">
        <v>70</v>
      </c>
      <c r="G405">
        <v>40</v>
      </c>
      <c r="H405">
        <v>1841</v>
      </c>
      <c r="I405">
        <v>329</v>
      </c>
      <c r="J405">
        <v>827</v>
      </c>
      <c r="K405">
        <v>0.39800000000000002</v>
      </c>
      <c r="L405">
        <v>154</v>
      </c>
      <c r="M405">
        <v>446</v>
      </c>
      <c r="N405">
        <v>0.34499999999999997</v>
      </c>
      <c r="O405">
        <v>175</v>
      </c>
      <c r="P405">
        <v>381</v>
      </c>
      <c r="Q405">
        <v>0.45900000000000002</v>
      </c>
      <c r="R405">
        <v>0.49099999999999999</v>
      </c>
      <c r="S405">
        <v>130</v>
      </c>
      <c r="T405">
        <v>161</v>
      </c>
      <c r="U405">
        <v>0.80700000000000005</v>
      </c>
      <c r="V405">
        <v>18</v>
      </c>
      <c r="W405">
        <v>196</v>
      </c>
      <c r="X405">
        <v>214</v>
      </c>
      <c r="Y405">
        <v>75</v>
      </c>
      <c r="Z405">
        <v>60</v>
      </c>
      <c r="AA405">
        <v>26</v>
      </c>
      <c r="AB405">
        <v>73</v>
      </c>
      <c r="AC405">
        <v>132</v>
      </c>
      <c r="AD405">
        <v>942</v>
      </c>
    </row>
    <row r="406" spans="1:30" x14ac:dyDescent="0.3">
      <c r="A406">
        <v>318</v>
      </c>
      <c r="B406" t="s">
        <v>2311</v>
      </c>
      <c r="C406" t="s">
        <v>2004</v>
      </c>
      <c r="D406">
        <v>38</v>
      </c>
      <c r="E406" t="s">
        <v>1968</v>
      </c>
      <c r="F406">
        <v>81</v>
      </c>
      <c r="G406">
        <v>0</v>
      </c>
      <c r="H406">
        <v>1253</v>
      </c>
      <c r="I406">
        <v>145</v>
      </c>
      <c r="J406">
        <v>290</v>
      </c>
      <c r="K406">
        <v>0.5</v>
      </c>
      <c r="L406">
        <v>7</v>
      </c>
      <c r="M406">
        <v>34</v>
      </c>
      <c r="N406">
        <v>0.20599999999999999</v>
      </c>
      <c r="O406">
        <v>138</v>
      </c>
      <c r="P406">
        <v>256</v>
      </c>
      <c r="Q406">
        <v>0.53900000000000003</v>
      </c>
      <c r="R406">
        <v>0.51200000000000001</v>
      </c>
      <c r="S406">
        <v>58</v>
      </c>
      <c r="T406">
        <v>77</v>
      </c>
      <c r="U406">
        <v>0.753</v>
      </c>
      <c r="V406">
        <v>37</v>
      </c>
      <c r="W406">
        <v>116</v>
      </c>
      <c r="X406">
        <v>153</v>
      </c>
      <c r="Y406">
        <v>284</v>
      </c>
      <c r="Z406">
        <v>32</v>
      </c>
      <c r="AA406">
        <v>6</v>
      </c>
      <c r="AB406">
        <v>104</v>
      </c>
      <c r="AC406">
        <v>103</v>
      </c>
      <c r="AD406">
        <v>355</v>
      </c>
    </row>
    <row r="407" spans="1:30" x14ac:dyDescent="0.3">
      <c r="A407">
        <v>318</v>
      </c>
      <c r="B407" t="s">
        <v>2311</v>
      </c>
      <c r="C407" t="s">
        <v>2004</v>
      </c>
      <c r="D407">
        <v>38</v>
      </c>
      <c r="E407" t="s">
        <v>2026</v>
      </c>
      <c r="F407">
        <v>51</v>
      </c>
      <c r="G407">
        <v>0</v>
      </c>
      <c r="H407">
        <v>631</v>
      </c>
      <c r="I407">
        <v>77</v>
      </c>
      <c r="J407">
        <v>142</v>
      </c>
      <c r="K407">
        <v>0.54200000000000004</v>
      </c>
      <c r="L407">
        <v>1</v>
      </c>
      <c r="M407">
        <v>8</v>
      </c>
      <c r="N407">
        <v>0.125</v>
      </c>
      <c r="O407">
        <v>76</v>
      </c>
      <c r="P407">
        <v>134</v>
      </c>
      <c r="Q407">
        <v>0.56699999999999995</v>
      </c>
      <c r="R407">
        <v>0.54600000000000004</v>
      </c>
      <c r="S407">
        <v>28</v>
      </c>
      <c r="T407">
        <v>39</v>
      </c>
      <c r="U407">
        <v>0.71799999999999997</v>
      </c>
      <c r="V407">
        <v>21</v>
      </c>
      <c r="W407">
        <v>56</v>
      </c>
      <c r="X407">
        <v>77</v>
      </c>
      <c r="Y407">
        <v>143</v>
      </c>
      <c r="Z407">
        <v>14</v>
      </c>
      <c r="AA407">
        <v>2</v>
      </c>
      <c r="AB407">
        <v>46</v>
      </c>
      <c r="AC407">
        <v>56</v>
      </c>
      <c r="AD407">
        <v>183</v>
      </c>
    </row>
    <row r="408" spans="1:30" x14ac:dyDescent="0.3">
      <c r="A408">
        <v>318</v>
      </c>
      <c r="B408" t="s">
        <v>2311</v>
      </c>
      <c r="C408" t="s">
        <v>2004</v>
      </c>
      <c r="D408">
        <v>38</v>
      </c>
      <c r="E408" t="s">
        <v>2034</v>
      </c>
      <c r="F408">
        <v>30</v>
      </c>
      <c r="G408">
        <v>0</v>
      </c>
      <c r="H408">
        <v>622</v>
      </c>
      <c r="I408">
        <v>68</v>
      </c>
      <c r="J408">
        <v>148</v>
      </c>
      <c r="K408">
        <v>0.45900000000000002</v>
      </c>
      <c r="L408">
        <v>6</v>
      </c>
      <c r="M408">
        <v>26</v>
      </c>
      <c r="N408">
        <v>0.23100000000000001</v>
      </c>
      <c r="O408">
        <v>62</v>
      </c>
      <c r="P408">
        <v>122</v>
      </c>
      <c r="Q408">
        <v>0.50800000000000001</v>
      </c>
      <c r="R408">
        <v>0.48</v>
      </c>
      <c r="S408">
        <v>30</v>
      </c>
      <c r="T408">
        <v>38</v>
      </c>
      <c r="U408">
        <v>0.78900000000000003</v>
      </c>
      <c r="V408">
        <v>16</v>
      </c>
      <c r="W408">
        <v>60</v>
      </c>
      <c r="X408">
        <v>76</v>
      </c>
      <c r="Y408">
        <v>141</v>
      </c>
      <c r="Z408">
        <v>18</v>
      </c>
      <c r="AA408">
        <v>4</v>
      </c>
      <c r="AB408">
        <v>58</v>
      </c>
      <c r="AC408">
        <v>47</v>
      </c>
      <c r="AD408">
        <v>172</v>
      </c>
    </row>
    <row r="409" spans="1:30" x14ac:dyDescent="0.3">
      <c r="A409">
        <v>319</v>
      </c>
      <c r="B409" t="s">
        <v>2312</v>
      </c>
      <c r="C409" t="s">
        <v>1981</v>
      </c>
      <c r="D409">
        <v>24</v>
      </c>
      <c r="E409" t="s">
        <v>1972</v>
      </c>
      <c r="F409">
        <v>5</v>
      </c>
      <c r="G409">
        <v>1</v>
      </c>
      <c r="H409">
        <v>43</v>
      </c>
      <c r="I409">
        <v>1</v>
      </c>
      <c r="J409">
        <v>7</v>
      </c>
      <c r="K409">
        <v>0.14299999999999999</v>
      </c>
      <c r="L409">
        <v>0</v>
      </c>
      <c r="M409">
        <v>1</v>
      </c>
      <c r="N409">
        <v>0</v>
      </c>
      <c r="O409">
        <v>1</v>
      </c>
      <c r="P409">
        <v>6</v>
      </c>
      <c r="Q409">
        <v>0.16700000000000001</v>
      </c>
      <c r="R409">
        <v>0.14299999999999999</v>
      </c>
      <c r="S409">
        <v>0</v>
      </c>
      <c r="T409">
        <v>0</v>
      </c>
      <c r="V409">
        <v>0</v>
      </c>
      <c r="W409">
        <v>1</v>
      </c>
      <c r="X409">
        <v>1</v>
      </c>
      <c r="Y409">
        <v>2</v>
      </c>
      <c r="Z409">
        <v>1</v>
      </c>
      <c r="AA409">
        <v>0</v>
      </c>
      <c r="AB409">
        <v>1</v>
      </c>
      <c r="AC409">
        <v>8</v>
      </c>
      <c r="AD409">
        <v>2</v>
      </c>
    </row>
    <row r="410" spans="1:30" x14ac:dyDescent="0.3">
      <c r="A410">
        <v>320</v>
      </c>
      <c r="B410" t="s">
        <v>2313</v>
      </c>
      <c r="C410" t="s">
        <v>1981</v>
      </c>
      <c r="D410">
        <v>34</v>
      </c>
      <c r="E410" t="s">
        <v>1984</v>
      </c>
      <c r="F410">
        <v>52</v>
      </c>
      <c r="G410">
        <v>15</v>
      </c>
      <c r="H410">
        <v>701</v>
      </c>
      <c r="I410">
        <v>37</v>
      </c>
      <c r="J410">
        <v>114</v>
      </c>
      <c r="K410">
        <v>0.32500000000000001</v>
      </c>
      <c r="L410">
        <v>32</v>
      </c>
      <c r="M410">
        <v>98</v>
      </c>
      <c r="N410">
        <v>0.32700000000000001</v>
      </c>
      <c r="O410">
        <v>5</v>
      </c>
      <c r="P410">
        <v>16</v>
      </c>
      <c r="Q410">
        <v>0.313</v>
      </c>
      <c r="R410">
        <v>0.46500000000000002</v>
      </c>
      <c r="S410">
        <v>3</v>
      </c>
      <c r="T410">
        <v>4</v>
      </c>
      <c r="U410">
        <v>0.75</v>
      </c>
      <c r="V410">
        <v>4</v>
      </c>
      <c r="W410">
        <v>87</v>
      </c>
      <c r="X410">
        <v>91</v>
      </c>
      <c r="Y410">
        <v>46</v>
      </c>
      <c r="Z410">
        <v>14</v>
      </c>
      <c r="AA410">
        <v>4</v>
      </c>
      <c r="AB410">
        <v>23</v>
      </c>
      <c r="AC410">
        <v>74</v>
      </c>
      <c r="AD410">
        <v>109</v>
      </c>
    </row>
    <row r="411" spans="1:30" x14ac:dyDescent="0.3">
      <c r="A411" t="s">
        <v>1929</v>
      </c>
      <c r="B411" t="s">
        <v>1930</v>
      </c>
      <c r="C411" t="s">
        <v>1931</v>
      </c>
      <c r="D411" t="s">
        <v>198</v>
      </c>
      <c r="E411" t="s">
        <v>1932</v>
      </c>
      <c r="F411" t="s">
        <v>1933</v>
      </c>
      <c r="G411" t="s">
        <v>1934</v>
      </c>
      <c r="H411" t="s">
        <v>1935</v>
      </c>
      <c r="I411" t="s">
        <v>1936</v>
      </c>
      <c r="J411" t="s">
        <v>1937</v>
      </c>
      <c r="K411" t="s">
        <v>1938</v>
      </c>
      <c r="L411" t="s">
        <v>1939</v>
      </c>
      <c r="M411" t="s">
        <v>1940</v>
      </c>
      <c r="N411" t="s">
        <v>1941</v>
      </c>
      <c r="O411" t="s">
        <v>1942</v>
      </c>
      <c r="P411" t="s">
        <v>1943</v>
      </c>
      <c r="Q411" t="s">
        <v>1944</v>
      </c>
      <c r="R411" t="s">
        <v>1945</v>
      </c>
      <c r="S411" t="s">
        <v>1946</v>
      </c>
      <c r="T411" t="s">
        <v>1947</v>
      </c>
      <c r="U411" t="s">
        <v>1948</v>
      </c>
      <c r="V411" t="s">
        <v>1949</v>
      </c>
      <c r="W411" t="s">
        <v>1950</v>
      </c>
      <c r="X411" t="s">
        <v>1951</v>
      </c>
      <c r="Y411" t="s">
        <v>1952</v>
      </c>
      <c r="Z411" t="s">
        <v>1953</v>
      </c>
      <c r="AA411" t="s">
        <v>1954</v>
      </c>
      <c r="AB411" t="s">
        <v>1955</v>
      </c>
      <c r="AC411" t="s">
        <v>1956</v>
      </c>
      <c r="AD411" t="s">
        <v>1957</v>
      </c>
    </row>
    <row r="412" spans="1:30" x14ac:dyDescent="0.3">
      <c r="A412">
        <v>321</v>
      </c>
      <c r="B412" t="s">
        <v>2314</v>
      </c>
      <c r="C412" t="s">
        <v>1956</v>
      </c>
      <c r="D412">
        <v>22</v>
      </c>
      <c r="E412" t="s">
        <v>1968</v>
      </c>
      <c r="F412">
        <v>10</v>
      </c>
      <c r="G412">
        <v>0</v>
      </c>
      <c r="H412">
        <v>119</v>
      </c>
      <c r="I412">
        <v>9</v>
      </c>
      <c r="J412">
        <v>38</v>
      </c>
      <c r="K412">
        <v>0.23699999999999999</v>
      </c>
      <c r="L412">
        <v>3</v>
      </c>
      <c r="M412">
        <v>18</v>
      </c>
      <c r="N412">
        <v>0.16700000000000001</v>
      </c>
      <c r="O412">
        <v>6</v>
      </c>
      <c r="P412">
        <v>20</v>
      </c>
      <c r="Q412">
        <v>0.3</v>
      </c>
      <c r="R412">
        <v>0.27600000000000002</v>
      </c>
      <c r="S412">
        <v>8</v>
      </c>
      <c r="T412">
        <v>11</v>
      </c>
      <c r="U412">
        <v>0.72699999999999998</v>
      </c>
      <c r="V412">
        <v>4</v>
      </c>
      <c r="W412">
        <v>16</v>
      </c>
      <c r="X412">
        <v>20</v>
      </c>
      <c r="Y412">
        <v>8</v>
      </c>
      <c r="Z412">
        <v>7</v>
      </c>
      <c r="AA412">
        <v>5</v>
      </c>
      <c r="AB412">
        <v>5</v>
      </c>
      <c r="AC412">
        <v>9</v>
      </c>
      <c r="AD412">
        <v>29</v>
      </c>
    </row>
    <row r="413" spans="1:30" x14ac:dyDescent="0.3">
      <c r="A413">
        <v>321</v>
      </c>
      <c r="B413" t="s">
        <v>2314</v>
      </c>
      <c r="C413" t="s">
        <v>1956</v>
      </c>
      <c r="D413">
        <v>22</v>
      </c>
      <c r="E413" t="s">
        <v>2034</v>
      </c>
      <c r="F413">
        <v>6</v>
      </c>
      <c r="G413">
        <v>0</v>
      </c>
      <c r="H413">
        <v>61</v>
      </c>
      <c r="I413">
        <v>4</v>
      </c>
      <c r="J413">
        <v>18</v>
      </c>
      <c r="K413">
        <v>0.222</v>
      </c>
      <c r="L413">
        <v>1</v>
      </c>
      <c r="M413">
        <v>7</v>
      </c>
      <c r="N413">
        <v>0.14299999999999999</v>
      </c>
      <c r="O413">
        <v>3</v>
      </c>
      <c r="P413">
        <v>11</v>
      </c>
      <c r="Q413">
        <v>0.27300000000000002</v>
      </c>
      <c r="R413">
        <v>0.25</v>
      </c>
      <c r="S413">
        <v>8</v>
      </c>
      <c r="T413">
        <v>11</v>
      </c>
      <c r="U413">
        <v>0.72699999999999998</v>
      </c>
      <c r="V413">
        <v>2</v>
      </c>
      <c r="W413">
        <v>10</v>
      </c>
      <c r="X413">
        <v>12</v>
      </c>
      <c r="Y413">
        <v>3</v>
      </c>
      <c r="Z413">
        <v>6</v>
      </c>
      <c r="AA413">
        <v>3</v>
      </c>
      <c r="AB413">
        <v>3</v>
      </c>
      <c r="AC413">
        <v>4</v>
      </c>
      <c r="AD413">
        <v>17</v>
      </c>
    </row>
    <row r="414" spans="1:30" x14ac:dyDescent="0.3">
      <c r="A414">
        <v>321</v>
      </c>
      <c r="B414" t="s">
        <v>2314</v>
      </c>
      <c r="C414" t="s">
        <v>1956</v>
      </c>
      <c r="D414">
        <v>22</v>
      </c>
      <c r="E414" t="s">
        <v>1996</v>
      </c>
      <c r="F414">
        <v>4</v>
      </c>
      <c r="G414">
        <v>0</v>
      </c>
      <c r="H414">
        <v>58</v>
      </c>
      <c r="I414">
        <v>5</v>
      </c>
      <c r="J414">
        <v>20</v>
      </c>
      <c r="K414">
        <v>0.25</v>
      </c>
      <c r="L414">
        <v>2</v>
      </c>
      <c r="M414">
        <v>11</v>
      </c>
      <c r="N414">
        <v>0.182</v>
      </c>
      <c r="O414">
        <v>3</v>
      </c>
      <c r="P414">
        <v>9</v>
      </c>
      <c r="Q414">
        <v>0.33300000000000002</v>
      </c>
      <c r="R414">
        <v>0.3</v>
      </c>
      <c r="S414">
        <v>0</v>
      </c>
      <c r="T414">
        <v>0</v>
      </c>
      <c r="V414">
        <v>2</v>
      </c>
      <c r="W414">
        <v>6</v>
      </c>
      <c r="X414">
        <v>8</v>
      </c>
      <c r="Y414">
        <v>5</v>
      </c>
      <c r="Z414">
        <v>1</v>
      </c>
      <c r="AA414">
        <v>2</v>
      </c>
      <c r="AB414">
        <v>2</v>
      </c>
      <c r="AC414">
        <v>5</v>
      </c>
      <c r="AD414">
        <v>12</v>
      </c>
    </row>
    <row r="415" spans="1:30" x14ac:dyDescent="0.3">
      <c r="A415">
        <v>322</v>
      </c>
      <c r="B415" t="s">
        <v>2315</v>
      </c>
      <c r="C415" t="s">
        <v>2004</v>
      </c>
      <c r="D415">
        <v>26</v>
      </c>
      <c r="E415" t="s">
        <v>1990</v>
      </c>
      <c r="F415">
        <v>51</v>
      </c>
      <c r="G415">
        <v>0</v>
      </c>
      <c r="H415">
        <v>801</v>
      </c>
      <c r="I415">
        <v>128</v>
      </c>
      <c r="J415">
        <v>336</v>
      </c>
      <c r="K415">
        <v>0.38100000000000001</v>
      </c>
      <c r="L415">
        <v>62</v>
      </c>
      <c r="M415">
        <v>182</v>
      </c>
      <c r="N415">
        <v>0.34100000000000003</v>
      </c>
      <c r="O415">
        <v>66</v>
      </c>
      <c r="P415">
        <v>154</v>
      </c>
      <c r="Q415">
        <v>0.42899999999999999</v>
      </c>
      <c r="R415">
        <v>0.47299999999999998</v>
      </c>
      <c r="S415">
        <v>33</v>
      </c>
      <c r="T415">
        <v>40</v>
      </c>
      <c r="U415">
        <v>0.82499999999999996</v>
      </c>
      <c r="V415">
        <v>21</v>
      </c>
      <c r="W415">
        <v>54</v>
      </c>
      <c r="X415">
        <v>75</v>
      </c>
      <c r="Y415">
        <v>87</v>
      </c>
      <c r="Z415">
        <v>28</v>
      </c>
      <c r="AA415">
        <v>2</v>
      </c>
      <c r="AB415">
        <v>35</v>
      </c>
      <c r="AC415">
        <v>58</v>
      </c>
      <c r="AD415">
        <v>351</v>
      </c>
    </row>
    <row r="416" spans="1:30" x14ac:dyDescent="0.3">
      <c r="A416">
        <v>323</v>
      </c>
      <c r="B416" t="s">
        <v>2316</v>
      </c>
      <c r="C416" t="s">
        <v>1961</v>
      </c>
      <c r="D416">
        <v>27</v>
      </c>
      <c r="E416" t="s">
        <v>2030</v>
      </c>
      <c r="F416">
        <v>47</v>
      </c>
      <c r="G416">
        <v>5</v>
      </c>
      <c r="H416">
        <v>924</v>
      </c>
      <c r="I416">
        <v>81</v>
      </c>
      <c r="J416">
        <v>238</v>
      </c>
      <c r="K416">
        <v>0.34</v>
      </c>
      <c r="L416">
        <v>28</v>
      </c>
      <c r="M416">
        <v>90</v>
      </c>
      <c r="N416">
        <v>0.311</v>
      </c>
      <c r="O416">
        <v>53</v>
      </c>
      <c r="P416">
        <v>148</v>
      </c>
      <c r="Q416">
        <v>0.35799999999999998</v>
      </c>
      <c r="R416">
        <v>0.39900000000000002</v>
      </c>
      <c r="S416">
        <v>58</v>
      </c>
      <c r="T416">
        <v>86</v>
      </c>
      <c r="U416">
        <v>0.67400000000000004</v>
      </c>
      <c r="V416">
        <v>28</v>
      </c>
      <c r="W416">
        <v>122</v>
      </c>
      <c r="X416">
        <v>150</v>
      </c>
      <c r="Y416">
        <v>58</v>
      </c>
      <c r="Z416">
        <v>56</v>
      </c>
      <c r="AA416">
        <v>16</v>
      </c>
      <c r="AB416">
        <v>67</v>
      </c>
      <c r="AC416">
        <v>124</v>
      </c>
      <c r="AD416">
        <v>248</v>
      </c>
    </row>
    <row r="417" spans="1:30" x14ac:dyDescent="0.3">
      <c r="A417">
        <v>324</v>
      </c>
      <c r="B417" t="s">
        <v>2317</v>
      </c>
      <c r="C417" t="s">
        <v>1956</v>
      </c>
      <c r="D417">
        <v>29</v>
      </c>
      <c r="E417" t="s">
        <v>1998</v>
      </c>
      <c r="F417">
        <v>73</v>
      </c>
      <c r="G417">
        <v>73</v>
      </c>
      <c r="H417">
        <v>2390</v>
      </c>
      <c r="I417">
        <v>443</v>
      </c>
      <c r="J417">
        <v>930</v>
      </c>
      <c r="K417">
        <v>0.47599999999999998</v>
      </c>
      <c r="L417">
        <v>77</v>
      </c>
      <c r="M417">
        <v>216</v>
      </c>
      <c r="N417">
        <v>0.35599999999999998</v>
      </c>
      <c r="O417">
        <v>366</v>
      </c>
      <c r="P417">
        <v>714</v>
      </c>
      <c r="Q417">
        <v>0.51300000000000001</v>
      </c>
      <c r="R417">
        <v>0.51800000000000002</v>
      </c>
      <c r="S417">
        <v>255</v>
      </c>
      <c r="T417">
        <v>337</v>
      </c>
      <c r="U417">
        <v>0.75700000000000001</v>
      </c>
      <c r="V417">
        <v>139</v>
      </c>
      <c r="W417">
        <v>431</v>
      </c>
      <c r="X417">
        <v>570</v>
      </c>
      <c r="Y417">
        <v>223</v>
      </c>
      <c r="Z417">
        <v>130</v>
      </c>
      <c r="AA417">
        <v>69</v>
      </c>
      <c r="AB417">
        <v>166</v>
      </c>
      <c r="AC417">
        <v>201</v>
      </c>
      <c r="AD417">
        <v>1218</v>
      </c>
    </row>
    <row r="418" spans="1:30" x14ac:dyDescent="0.3">
      <c r="A418">
        <v>325</v>
      </c>
      <c r="B418" t="s">
        <v>2318</v>
      </c>
      <c r="C418" t="s">
        <v>1956</v>
      </c>
      <c r="D418">
        <v>23</v>
      </c>
      <c r="E418" t="s">
        <v>2008</v>
      </c>
      <c r="F418">
        <v>82</v>
      </c>
      <c r="G418">
        <v>3</v>
      </c>
      <c r="H418">
        <v>1654</v>
      </c>
      <c r="I418">
        <v>253</v>
      </c>
      <c r="J418">
        <v>624</v>
      </c>
      <c r="K418">
        <v>0.40500000000000003</v>
      </c>
      <c r="L418">
        <v>99</v>
      </c>
      <c r="M418">
        <v>313</v>
      </c>
      <c r="N418">
        <v>0.316</v>
      </c>
      <c r="O418">
        <v>154</v>
      </c>
      <c r="P418">
        <v>311</v>
      </c>
      <c r="Q418">
        <v>0.495</v>
      </c>
      <c r="R418">
        <v>0.48499999999999999</v>
      </c>
      <c r="S418">
        <v>228</v>
      </c>
      <c r="T418">
        <v>284</v>
      </c>
      <c r="U418">
        <v>0.80300000000000005</v>
      </c>
      <c r="V418">
        <v>63</v>
      </c>
      <c r="W418">
        <v>341</v>
      </c>
      <c r="X418">
        <v>404</v>
      </c>
      <c r="Y418">
        <v>97</v>
      </c>
      <c r="Z418">
        <v>54</v>
      </c>
      <c r="AA418">
        <v>54</v>
      </c>
      <c r="AB418">
        <v>89</v>
      </c>
      <c r="AC418">
        <v>172</v>
      </c>
      <c r="AD418">
        <v>833</v>
      </c>
    </row>
    <row r="419" spans="1:30" x14ac:dyDescent="0.3">
      <c r="A419">
        <v>326</v>
      </c>
      <c r="B419" t="s">
        <v>2319</v>
      </c>
      <c r="C419" t="s">
        <v>213</v>
      </c>
      <c r="D419">
        <v>37</v>
      </c>
      <c r="E419" t="s">
        <v>2008</v>
      </c>
      <c r="F419">
        <v>23</v>
      </c>
      <c r="G419">
        <v>0</v>
      </c>
      <c r="H419">
        <v>128</v>
      </c>
      <c r="I419">
        <v>13</v>
      </c>
      <c r="J419">
        <v>30</v>
      </c>
      <c r="K419">
        <v>0.433</v>
      </c>
      <c r="L419">
        <v>0</v>
      </c>
      <c r="M419">
        <v>0</v>
      </c>
      <c r="O419">
        <v>13</v>
      </c>
      <c r="P419">
        <v>30</v>
      </c>
      <c r="Q419">
        <v>0.433</v>
      </c>
      <c r="R419">
        <v>0.433</v>
      </c>
      <c r="S419">
        <v>1</v>
      </c>
      <c r="T419">
        <v>3</v>
      </c>
      <c r="U419">
        <v>0.33300000000000002</v>
      </c>
      <c r="V419">
        <v>11</v>
      </c>
      <c r="W419">
        <v>27</v>
      </c>
      <c r="X419">
        <v>38</v>
      </c>
      <c r="Y419">
        <v>3</v>
      </c>
      <c r="Z419">
        <v>4</v>
      </c>
      <c r="AA419">
        <v>5</v>
      </c>
      <c r="AB419">
        <v>7</v>
      </c>
      <c r="AC419">
        <v>16</v>
      </c>
      <c r="AD419">
        <v>27</v>
      </c>
    </row>
    <row r="420" spans="1:30" x14ac:dyDescent="0.3">
      <c r="A420">
        <v>327</v>
      </c>
      <c r="B420" t="s">
        <v>2320</v>
      </c>
      <c r="C420" t="s">
        <v>1956</v>
      </c>
      <c r="D420">
        <v>24</v>
      </c>
      <c r="E420" t="s">
        <v>1996</v>
      </c>
      <c r="F420">
        <v>69</v>
      </c>
      <c r="G420">
        <v>57</v>
      </c>
      <c r="H420">
        <v>2137</v>
      </c>
      <c r="I420">
        <v>423</v>
      </c>
      <c r="J420">
        <v>853</v>
      </c>
      <c r="K420">
        <v>0.496</v>
      </c>
      <c r="L420">
        <v>0</v>
      </c>
      <c r="M420">
        <v>0</v>
      </c>
      <c r="O420">
        <v>423</v>
      </c>
      <c r="P420">
        <v>853</v>
      </c>
      <c r="Q420">
        <v>0.496</v>
      </c>
      <c r="R420">
        <v>0.496</v>
      </c>
      <c r="S420">
        <v>252</v>
      </c>
      <c r="T420">
        <v>336</v>
      </c>
      <c r="U420">
        <v>0.75</v>
      </c>
      <c r="V420">
        <v>229</v>
      </c>
      <c r="W420">
        <v>475</v>
      </c>
      <c r="X420">
        <v>704</v>
      </c>
      <c r="Y420">
        <v>142</v>
      </c>
      <c r="Z420">
        <v>78</v>
      </c>
      <c r="AA420">
        <v>34</v>
      </c>
      <c r="AB420">
        <v>149</v>
      </c>
      <c r="AC420">
        <v>148</v>
      </c>
      <c r="AD420">
        <v>1098</v>
      </c>
    </row>
    <row r="421" spans="1:30" x14ac:dyDescent="0.3">
      <c r="A421">
        <v>328</v>
      </c>
      <c r="B421" t="s">
        <v>2321</v>
      </c>
      <c r="C421" t="s">
        <v>1961</v>
      </c>
      <c r="D421">
        <v>25</v>
      </c>
      <c r="E421" t="s">
        <v>2008</v>
      </c>
      <c r="F421">
        <v>56</v>
      </c>
      <c r="G421">
        <v>0</v>
      </c>
      <c r="H421">
        <v>504</v>
      </c>
      <c r="I421">
        <v>62</v>
      </c>
      <c r="J421">
        <v>139</v>
      </c>
      <c r="K421">
        <v>0.44600000000000001</v>
      </c>
      <c r="L421">
        <v>13</v>
      </c>
      <c r="M421">
        <v>38</v>
      </c>
      <c r="N421">
        <v>0.34200000000000003</v>
      </c>
      <c r="O421">
        <v>49</v>
      </c>
      <c r="P421">
        <v>101</v>
      </c>
      <c r="Q421">
        <v>0.48499999999999999</v>
      </c>
      <c r="R421">
        <v>0.49299999999999999</v>
      </c>
      <c r="S421">
        <v>12</v>
      </c>
      <c r="T421">
        <v>20</v>
      </c>
      <c r="U421">
        <v>0.6</v>
      </c>
      <c r="V421">
        <v>12</v>
      </c>
      <c r="W421">
        <v>34</v>
      </c>
      <c r="X421">
        <v>46</v>
      </c>
      <c r="Y421">
        <v>33</v>
      </c>
      <c r="Z421">
        <v>20</v>
      </c>
      <c r="AA421">
        <v>6</v>
      </c>
      <c r="AB421">
        <v>14</v>
      </c>
      <c r="AC421">
        <v>45</v>
      </c>
      <c r="AD421">
        <v>149</v>
      </c>
    </row>
    <row r="422" spans="1:30" x14ac:dyDescent="0.3">
      <c r="A422">
        <v>329</v>
      </c>
      <c r="B422" t="s">
        <v>2322</v>
      </c>
      <c r="C422" t="s">
        <v>1956</v>
      </c>
      <c r="D422">
        <v>23</v>
      </c>
      <c r="E422" t="s">
        <v>2034</v>
      </c>
      <c r="F422">
        <v>3</v>
      </c>
      <c r="G422">
        <v>0</v>
      </c>
      <c r="H422">
        <v>2</v>
      </c>
      <c r="I422">
        <v>1</v>
      </c>
      <c r="J422">
        <v>1</v>
      </c>
      <c r="K422">
        <v>1</v>
      </c>
      <c r="L422">
        <v>0</v>
      </c>
      <c r="M422">
        <v>0</v>
      </c>
      <c r="O422">
        <v>1</v>
      </c>
      <c r="P422">
        <v>1</v>
      </c>
      <c r="Q422">
        <v>1</v>
      </c>
      <c r="R422">
        <v>1</v>
      </c>
      <c r="S422">
        <v>0</v>
      </c>
      <c r="T422">
        <v>0</v>
      </c>
      <c r="V422">
        <v>0</v>
      </c>
      <c r="W422">
        <v>1</v>
      </c>
      <c r="X422">
        <v>1</v>
      </c>
      <c r="Y422">
        <v>0</v>
      </c>
      <c r="Z422">
        <v>0</v>
      </c>
      <c r="AA422">
        <v>0</v>
      </c>
      <c r="AB422">
        <v>0</v>
      </c>
      <c r="AC422">
        <v>1</v>
      </c>
      <c r="AD422">
        <v>2</v>
      </c>
    </row>
    <row r="423" spans="1:30" x14ac:dyDescent="0.3">
      <c r="A423">
        <v>330</v>
      </c>
      <c r="B423" t="s">
        <v>2323</v>
      </c>
      <c r="C423" t="s">
        <v>2004</v>
      </c>
      <c r="D423">
        <v>24</v>
      </c>
      <c r="E423" t="s">
        <v>1988</v>
      </c>
      <c r="F423">
        <v>38</v>
      </c>
      <c r="G423">
        <v>0</v>
      </c>
      <c r="H423">
        <v>299</v>
      </c>
      <c r="I423">
        <v>36</v>
      </c>
      <c r="J423">
        <v>106</v>
      </c>
      <c r="K423">
        <v>0.34</v>
      </c>
      <c r="L423">
        <v>7</v>
      </c>
      <c r="M423">
        <v>33</v>
      </c>
      <c r="N423">
        <v>0.21199999999999999</v>
      </c>
      <c r="O423">
        <v>29</v>
      </c>
      <c r="P423">
        <v>73</v>
      </c>
      <c r="Q423">
        <v>0.39700000000000002</v>
      </c>
      <c r="R423">
        <v>0.373</v>
      </c>
      <c r="S423">
        <v>4</v>
      </c>
      <c r="T423">
        <v>9</v>
      </c>
      <c r="U423">
        <v>0.44400000000000001</v>
      </c>
      <c r="V423">
        <v>7</v>
      </c>
      <c r="W423">
        <v>20</v>
      </c>
      <c r="X423">
        <v>27</v>
      </c>
      <c r="Y423">
        <v>48</v>
      </c>
      <c r="Z423">
        <v>9</v>
      </c>
      <c r="AA423">
        <v>0</v>
      </c>
      <c r="AB423">
        <v>21</v>
      </c>
      <c r="AC423">
        <v>20</v>
      </c>
      <c r="AD423">
        <v>83</v>
      </c>
    </row>
    <row r="424" spans="1:30" x14ac:dyDescent="0.3">
      <c r="A424">
        <v>331</v>
      </c>
      <c r="B424" t="s">
        <v>2324</v>
      </c>
      <c r="C424" t="s">
        <v>1956</v>
      </c>
      <c r="D424">
        <v>25</v>
      </c>
      <c r="E424" t="s">
        <v>2017</v>
      </c>
      <c r="F424">
        <v>81</v>
      </c>
      <c r="G424">
        <v>35</v>
      </c>
      <c r="H424">
        <v>2045</v>
      </c>
      <c r="I424">
        <v>331</v>
      </c>
      <c r="J424">
        <v>763</v>
      </c>
      <c r="K424">
        <v>0.434</v>
      </c>
      <c r="L424">
        <v>112</v>
      </c>
      <c r="M424">
        <v>313</v>
      </c>
      <c r="N424">
        <v>0.35799999999999998</v>
      </c>
      <c r="O424">
        <v>219</v>
      </c>
      <c r="P424">
        <v>450</v>
      </c>
      <c r="Q424">
        <v>0.48699999999999999</v>
      </c>
      <c r="R424">
        <v>0.50700000000000001</v>
      </c>
      <c r="S424">
        <v>71</v>
      </c>
      <c r="T424">
        <v>113</v>
      </c>
      <c r="U424">
        <v>0.628</v>
      </c>
      <c r="V424">
        <v>73</v>
      </c>
      <c r="W424">
        <v>312</v>
      </c>
      <c r="X424">
        <v>385</v>
      </c>
      <c r="Y424">
        <v>133</v>
      </c>
      <c r="Z424">
        <v>63</v>
      </c>
      <c r="AA424">
        <v>16</v>
      </c>
      <c r="AB424">
        <v>73</v>
      </c>
      <c r="AC424">
        <v>188</v>
      </c>
      <c r="AD424">
        <v>845</v>
      </c>
    </row>
    <row r="425" spans="1:30" x14ac:dyDescent="0.3">
      <c r="A425">
        <v>332</v>
      </c>
      <c r="B425" t="s">
        <v>2325</v>
      </c>
      <c r="C425" t="s">
        <v>1956</v>
      </c>
      <c r="D425">
        <v>25</v>
      </c>
      <c r="E425" t="s">
        <v>2017</v>
      </c>
      <c r="F425">
        <v>82</v>
      </c>
      <c r="G425">
        <v>82</v>
      </c>
      <c r="H425">
        <v>2581</v>
      </c>
      <c r="I425">
        <v>512</v>
      </c>
      <c r="J425">
        <v>1100</v>
      </c>
      <c r="K425">
        <v>0.46500000000000002</v>
      </c>
      <c r="L425">
        <v>57</v>
      </c>
      <c r="M425">
        <v>179</v>
      </c>
      <c r="N425">
        <v>0.318</v>
      </c>
      <c r="O425">
        <v>455</v>
      </c>
      <c r="P425">
        <v>921</v>
      </c>
      <c r="Q425">
        <v>0.49399999999999999</v>
      </c>
      <c r="R425">
        <v>0.49099999999999999</v>
      </c>
      <c r="S425">
        <v>177</v>
      </c>
      <c r="T425">
        <v>232</v>
      </c>
      <c r="U425">
        <v>0.76300000000000001</v>
      </c>
      <c r="V425">
        <v>110</v>
      </c>
      <c r="W425">
        <v>396</v>
      </c>
      <c r="X425">
        <v>506</v>
      </c>
      <c r="Y425">
        <v>192</v>
      </c>
      <c r="Z425">
        <v>101</v>
      </c>
      <c r="AA425">
        <v>39</v>
      </c>
      <c r="AB425">
        <v>170</v>
      </c>
      <c r="AC425">
        <v>245</v>
      </c>
      <c r="AD425">
        <v>1258</v>
      </c>
    </row>
    <row r="426" spans="1:30" x14ac:dyDescent="0.3">
      <c r="A426">
        <v>333</v>
      </c>
      <c r="B426" t="s">
        <v>2326</v>
      </c>
      <c r="C426" t="s">
        <v>1961</v>
      </c>
      <c r="D426">
        <v>29</v>
      </c>
      <c r="E426" t="s">
        <v>1964</v>
      </c>
      <c r="F426">
        <v>74</v>
      </c>
      <c r="G426">
        <v>0</v>
      </c>
      <c r="H426">
        <v>1806</v>
      </c>
      <c r="I426">
        <v>285</v>
      </c>
      <c r="J426">
        <v>615</v>
      </c>
      <c r="K426">
        <v>0.46300000000000002</v>
      </c>
      <c r="L426">
        <v>141</v>
      </c>
      <c r="M426">
        <v>325</v>
      </c>
      <c r="N426">
        <v>0.434</v>
      </c>
      <c r="O426">
        <v>144</v>
      </c>
      <c r="P426">
        <v>290</v>
      </c>
      <c r="Q426">
        <v>0.497</v>
      </c>
      <c r="R426">
        <v>0.57799999999999996</v>
      </c>
      <c r="S426">
        <v>79</v>
      </c>
      <c r="T426">
        <v>89</v>
      </c>
      <c r="U426">
        <v>0.88800000000000001</v>
      </c>
      <c r="V426">
        <v>40</v>
      </c>
      <c r="W426">
        <v>155</v>
      </c>
      <c r="X426">
        <v>195</v>
      </c>
      <c r="Y426">
        <v>60</v>
      </c>
      <c r="Z426">
        <v>54</v>
      </c>
      <c r="AA426">
        <v>11</v>
      </c>
      <c r="AB426">
        <v>38</v>
      </c>
      <c r="AC426">
        <v>135</v>
      </c>
      <c r="AD426">
        <v>790</v>
      </c>
    </row>
    <row r="427" spans="1:30" x14ac:dyDescent="0.3">
      <c r="A427">
        <v>334</v>
      </c>
      <c r="B427" t="s">
        <v>2327</v>
      </c>
      <c r="C427" t="s">
        <v>1956</v>
      </c>
      <c r="D427">
        <v>24</v>
      </c>
      <c r="E427" t="s">
        <v>2000</v>
      </c>
      <c r="F427">
        <v>71</v>
      </c>
      <c r="G427">
        <v>62</v>
      </c>
      <c r="H427">
        <v>2037</v>
      </c>
      <c r="I427">
        <v>353</v>
      </c>
      <c r="J427">
        <v>700</v>
      </c>
      <c r="K427">
        <v>0.504</v>
      </c>
      <c r="L427">
        <v>49</v>
      </c>
      <c r="M427">
        <v>133</v>
      </c>
      <c r="N427">
        <v>0.36799999999999999</v>
      </c>
      <c r="O427">
        <v>304</v>
      </c>
      <c r="P427">
        <v>567</v>
      </c>
      <c r="Q427">
        <v>0.53600000000000003</v>
      </c>
      <c r="R427">
        <v>0.53900000000000003</v>
      </c>
      <c r="S427">
        <v>100</v>
      </c>
      <c r="T427">
        <v>166</v>
      </c>
      <c r="U427">
        <v>0.60199999999999998</v>
      </c>
      <c r="V427">
        <v>137</v>
      </c>
      <c r="W427">
        <v>284</v>
      </c>
      <c r="X427">
        <v>421</v>
      </c>
      <c r="Y427">
        <v>130</v>
      </c>
      <c r="Z427">
        <v>56</v>
      </c>
      <c r="AA427">
        <v>34</v>
      </c>
      <c r="AB427">
        <v>123</v>
      </c>
      <c r="AC427">
        <v>203</v>
      </c>
      <c r="AD427">
        <v>855</v>
      </c>
    </row>
    <row r="428" spans="1:30" x14ac:dyDescent="0.3">
      <c r="A428">
        <v>335</v>
      </c>
      <c r="B428" t="s">
        <v>2328</v>
      </c>
      <c r="C428" t="s">
        <v>213</v>
      </c>
      <c r="D428">
        <v>28</v>
      </c>
      <c r="E428" t="s">
        <v>1968</v>
      </c>
      <c r="F428">
        <v>81</v>
      </c>
      <c r="G428">
        <v>80</v>
      </c>
      <c r="H428">
        <v>2045</v>
      </c>
      <c r="I428">
        <v>314</v>
      </c>
      <c r="J428">
        <v>566</v>
      </c>
      <c r="K428">
        <v>0.55500000000000005</v>
      </c>
      <c r="L428">
        <v>2</v>
      </c>
      <c r="M428">
        <v>6</v>
      </c>
      <c r="N428">
        <v>0.33300000000000002</v>
      </c>
      <c r="O428">
        <v>312</v>
      </c>
      <c r="P428">
        <v>560</v>
      </c>
      <c r="Q428">
        <v>0.55700000000000005</v>
      </c>
      <c r="R428">
        <v>0.55700000000000005</v>
      </c>
      <c r="S428">
        <v>155</v>
      </c>
      <c r="T428">
        <v>216</v>
      </c>
      <c r="U428">
        <v>0.71799999999999997</v>
      </c>
      <c r="V428">
        <v>203</v>
      </c>
      <c r="W428">
        <v>388</v>
      </c>
      <c r="X428">
        <v>591</v>
      </c>
      <c r="Y428">
        <v>55</v>
      </c>
      <c r="Z428">
        <v>33</v>
      </c>
      <c r="AA428">
        <v>97</v>
      </c>
      <c r="AB428">
        <v>116</v>
      </c>
      <c r="AC428">
        <v>227</v>
      </c>
      <c r="AD428">
        <v>785</v>
      </c>
    </row>
    <row r="429" spans="1:30" x14ac:dyDescent="0.3">
      <c r="A429">
        <v>335</v>
      </c>
      <c r="B429" t="s">
        <v>2328</v>
      </c>
      <c r="C429" t="s">
        <v>213</v>
      </c>
      <c r="D429">
        <v>28</v>
      </c>
      <c r="E429" t="s">
        <v>1969</v>
      </c>
      <c r="F429">
        <v>35</v>
      </c>
      <c r="G429">
        <v>35</v>
      </c>
      <c r="H429">
        <v>897</v>
      </c>
      <c r="I429">
        <v>117</v>
      </c>
      <c r="J429">
        <v>232</v>
      </c>
      <c r="K429">
        <v>0.504</v>
      </c>
      <c r="L429">
        <v>2</v>
      </c>
      <c r="M429">
        <v>6</v>
      </c>
      <c r="N429">
        <v>0.33300000000000002</v>
      </c>
      <c r="O429">
        <v>115</v>
      </c>
      <c r="P429">
        <v>226</v>
      </c>
      <c r="Q429">
        <v>0.50900000000000001</v>
      </c>
      <c r="R429">
        <v>0.50900000000000001</v>
      </c>
      <c r="S429">
        <v>63</v>
      </c>
      <c r="T429">
        <v>86</v>
      </c>
      <c r="U429">
        <v>0.73299999999999998</v>
      </c>
      <c r="V429">
        <v>91</v>
      </c>
      <c r="W429">
        <v>181</v>
      </c>
      <c r="X429">
        <v>272</v>
      </c>
      <c r="Y429">
        <v>16</v>
      </c>
      <c r="Z429">
        <v>15</v>
      </c>
      <c r="AA429">
        <v>41</v>
      </c>
      <c r="AB429">
        <v>47</v>
      </c>
      <c r="AC429">
        <v>114</v>
      </c>
      <c r="AD429">
        <v>299</v>
      </c>
    </row>
    <row r="430" spans="1:30" x14ac:dyDescent="0.3">
      <c r="A430">
        <v>335</v>
      </c>
      <c r="B430" t="s">
        <v>2328</v>
      </c>
      <c r="C430" t="s">
        <v>213</v>
      </c>
      <c r="D430">
        <v>28</v>
      </c>
      <c r="E430" t="s">
        <v>1984</v>
      </c>
      <c r="F430">
        <v>46</v>
      </c>
      <c r="G430">
        <v>45</v>
      </c>
      <c r="H430">
        <v>1148</v>
      </c>
      <c r="I430">
        <v>197</v>
      </c>
      <c r="J430">
        <v>334</v>
      </c>
      <c r="K430">
        <v>0.59</v>
      </c>
      <c r="L430">
        <v>0</v>
      </c>
      <c r="M430">
        <v>0</v>
      </c>
      <c r="O430">
        <v>197</v>
      </c>
      <c r="P430">
        <v>334</v>
      </c>
      <c r="Q430">
        <v>0.59</v>
      </c>
      <c r="R430">
        <v>0.59</v>
      </c>
      <c r="S430">
        <v>92</v>
      </c>
      <c r="T430">
        <v>130</v>
      </c>
      <c r="U430">
        <v>0.70799999999999996</v>
      </c>
      <c r="V430">
        <v>112</v>
      </c>
      <c r="W430">
        <v>207</v>
      </c>
      <c r="X430">
        <v>319</v>
      </c>
      <c r="Y430">
        <v>39</v>
      </c>
      <c r="Z430">
        <v>18</v>
      </c>
      <c r="AA430">
        <v>56</v>
      </c>
      <c r="AB430">
        <v>69</v>
      </c>
      <c r="AC430">
        <v>113</v>
      </c>
      <c r="AD430">
        <v>486</v>
      </c>
    </row>
    <row r="431" spans="1:30" x14ac:dyDescent="0.3">
      <c r="A431">
        <v>336</v>
      </c>
      <c r="B431" t="s">
        <v>2329</v>
      </c>
      <c r="C431" t="s">
        <v>1961</v>
      </c>
      <c r="D431">
        <v>22</v>
      </c>
      <c r="E431" t="s">
        <v>1966</v>
      </c>
      <c r="F431">
        <v>38</v>
      </c>
      <c r="G431">
        <v>13</v>
      </c>
      <c r="H431">
        <v>866</v>
      </c>
      <c r="I431">
        <v>194</v>
      </c>
      <c r="J431">
        <v>397</v>
      </c>
      <c r="K431">
        <v>0.48899999999999999</v>
      </c>
      <c r="L431">
        <v>20</v>
      </c>
      <c r="M431">
        <v>51</v>
      </c>
      <c r="N431">
        <v>0.39200000000000002</v>
      </c>
      <c r="O431">
        <v>174</v>
      </c>
      <c r="P431">
        <v>346</v>
      </c>
      <c r="Q431">
        <v>0.503</v>
      </c>
      <c r="R431">
        <v>0.51400000000000001</v>
      </c>
      <c r="S431">
        <v>104</v>
      </c>
      <c r="T431">
        <v>145</v>
      </c>
      <c r="U431">
        <v>0.71699999999999997</v>
      </c>
      <c r="V431">
        <v>63</v>
      </c>
      <c r="W431">
        <v>91</v>
      </c>
      <c r="X431">
        <v>154</v>
      </c>
      <c r="Y431">
        <v>44</v>
      </c>
      <c r="Z431">
        <v>18</v>
      </c>
      <c r="AA431">
        <v>7</v>
      </c>
      <c r="AB431">
        <v>35</v>
      </c>
      <c r="AC431">
        <v>49</v>
      </c>
      <c r="AD431">
        <v>512</v>
      </c>
    </row>
    <row r="432" spans="1:30" x14ac:dyDescent="0.3">
      <c r="A432">
        <v>337</v>
      </c>
      <c r="B432" t="s">
        <v>2330</v>
      </c>
      <c r="C432" t="s">
        <v>2124</v>
      </c>
      <c r="D432">
        <v>25</v>
      </c>
      <c r="E432" t="s">
        <v>1968</v>
      </c>
      <c r="F432">
        <v>5</v>
      </c>
      <c r="G432">
        <v>0</v>
      </c>
      <c r="H432">
        <v>18</v>
      </c>
      <c r="I432">
        <v>2</v>
      </c>
      <c r="J432">
        <v>5</v>
      </c>
      <c r="K432">
        <v>0.4</v>
      </c>
      <c r="L432">
        <v>0</v>
      </c>
      <c r="M432">
        <v>0</v>
      </c>
      <c r="O432">
        <v>2</v>
      </c>
      <c r="P432">
        <v>5</v>
      </c>
      <c r="Q432">
        <v>0.4</v>
      </c>
      <c r="R432">
        <v>0.4</v>
      </c>
      <c r="S432">
        <v>2</v>
      </c>
      <c r="T432">
        <v>2</v>
      </c>
      <c r="U432">
        <v>1</v>
      </c>
      <c r="V432">
        <v>1</v>
      </c>
      <c r="W432">
        <v>0</v>
      </c>
      <c r="X432">
        <v>1</v>
      </c>
      <c r="Y432">
        <v>1</v>
      </c>
      <c r="Z432">
        <v>1</v>
      </c>
      <c r="AA432">
        <v>0</v>
      </c>
      <c r="AB432">
        <v>4</v>
      </c>
      <c r="AC432">
        <v>2</v>
      </c>
      <c r="AD432">
        <v>6</v>
      </c>
    </row>
    <row r="433" spans="1:30" x14ac:dyDescent="0.3">
      <c r="A433">
        <v>337</v>
      </c>
      <c r="B433" t="s">
        <v>2330</v>
      </c>
      <c r="C433" t="s">
        <v>2004</v>
      </c>
      <c r="D433">
        <v>25</v>
      </c>
      <c r="E433" t="s">
        <v>2030</v>
      </c>
      <c r="F433">
        <v>1</v>
      </c>
      <c r="G433">
        <v>0</v>
      </c>
      <c r="H433">
        <v>1</v>
      </c>
      <c r="I433">
        <v>0</v>
      </c>
      <c r="J433">
        <v>1</v>
      </c>
      <c r="K433">
        <v>0</v>
      </c>
      <c r="L433">
        <v>0</v>
      </c>
      <c r="M433">
        <v>0</v>
      </c>
      <c r="O433">
        <v>0</v>
      </c>
      <c r="P433">
        <v>1</v>
      </c>
      <c r="Q433">
        <v>0</v>
      </c>
      <c r="R433">
        <v>0</v>
      </c>
      <c r="S433">
        <v>0</v>
      </c>
      <c r="T433">
        <v>0</v>
      </c>
      <c r="V433">
        <v>0</v>
      </c>
      <c r="W433">
        <v>0</v>
      </c>
      <c r="X433">
        <v>0</v>
      </c>
      <c r="Y433">
        <v>0</v>
      </c>
      <c r="Z433">
        <v>0</v>
      </c>
      <c r="AA433">
        <v>0</v>
      </c>
      <c r="AB433">
        <v>0</v>
      </c>
      <c r="AC433">
        <v>0</v>
      </c>
      <c r="AD433">
        <v>0</v>
      </c>
    </row>
    <row r="434" spans="1:30" x14ac:dyDescent="0.3">
      <c r="A434">
        <v>337</v>
      </c>
      <c r="B434" t="s">
        <v>2330</v>
      </c>
      <c r="C434" t="s">
        <v>1961</v>
      </c>
      <c r="D434">
        <v>25</v>
      </c>
      <c r="E434" t="s">
        <v>2026</v>
      </c>
      <c r="F434">
        <v>4</v>
      </c>
      <c r="G434">
        <v>0</v>
      </c>
      <c r="H434">
        <v>17</v>
      </c>
      <c r="I434">
        <v>2</v>
      </c>
      <c r="J434">
        <v>4</v>
      </c>
      <c r="K434">
        <v>0.5</v>
      </c>
      <c r="L434">
        <v>0</v>
      </c>
      <c r="M434">
        <v>0</v>
      </c>
      <c r="O434">
        <v>2</v>
      </c>
      <c r="P434">
        <v>4</v>
      </c>
      <c r="Q434">
        <v>0.5</v>
      </c>
      <c r="R434">
        <v>0.5</v>
      </c>
      <c r="S434">
        <v>2</v>
      </c>
      <c r="T434">
        <v>2</v>
      </c>
      <c r="U434">
        <v>1</v>
      </c>
      <c r="V434">
        <v>1</v>
      </c>
      <c r="W434">
        <v>0</v>
      </c>
      <c r="X434">
        <v>1</v>
      </c>
      <c r="Y434">
        <v>1</v>
      </c>
      <c r="Z434">
        <v>1</v>
      </c>
      <c r="AA434">
        <v>0</v>
      </c>
      <c r="AB434">
        <v>4</v>
      </c>
      <c r="AC434">
        <v>2</v>
      </c>
      <c r="AD434">
        <v>6</v>
      </c>
    </row>
    <row r="435" spans="1:30" x14ac:dyDescent="0.3">
      <c r="A435">
        <v>338</v>
      </c>
      <c r="B435" t="s">
        <v>2331</v>
      </c>
      <c r="C435" t="s">
        <v>1956</v>
      </c>
      <c r="D435">
        <v>23</v>
      </c>
      <c r="E435" t="s">
        <v>1998</v>
      </c>
      <c r="F435">
        <v>40</v>
      </c>
      <c r="G435">
        <v>8</v>
      </c>
      <c r="H435">
        <v>502</v>
      </c>
      <c r="I435">
        <v>83</v>
      </c>
      <c r="J435">
        <v>151</v>
      </c>
      <c r="K435">
        <v>0.55000000000000004</v>
      </c>
      <c r="L435">
        <v>9</v>
      </c>
      <c r="M435">
        <v>22</v>
      </c>
      <c r="N435">
        <v>0.40899999999999997</v>
      </c>
      <c r="O435">
        <v>74</v>
      </c>
      <c r="P435">
        <v>129</v>
      </c>
      <c r="Q435">
        <v>0.57399999999999995</v>
      </c>
      <c r="R435">
        <v>0.57899999999999996</v>
      </c>
      <c r="S435">
        <v>22</v>
      </c>
      <c r="T435">
        <v>25</v>
      </c>
      <c r="U435">
        <v>0.88</v>
      </c>
      <c r="V435">
        <v>52</v>
      </c>
      <c r="W435">
        <v>67</v>
      </c>
      <c r="X435">
        <v>119</v>
      </c>
      <c r="Y435">
        <v>25</v>
      </c>
      <c r="Z435">
        <v>16</v>
      </c>
      <c r="AA435">
        <v>19</v>
      </c>
      <c r="AB435">
        <v>21</v>
      </c>
      <c r="AC435">
        <v>52</v>
      </c>
      <c r="AD435">
        <v>197</v>
      </c>
    </row>
    <row r="436" spans="1:30" x14ac:dyDescent="0.3">
      <c r="A436">
        <v>339</v>
      </c>
      <c r="B436" t="s">
        <v>2332</v>
      </c>
      <c r="C436" t="s">
        <v>2004</v>
      </c>
      <c r="D436">
        <v>23</v>
      </c>
      <c r="E436" t="s">
        <v>1986</v>
      </c>
      <c r="F436">
        <v>51</v>
      </c>
      <c r="G436">
        <v>10</v>
      </c>
      <c r="H436">
        <v>1012</v>
      </c>
      <c r="I436">
        <v>87</v>
      </c>
      <c r="J436">
        <v>228</v>
      </c>
      <c r="K436">
        <v>0.38200000000000001</v>
      </c>
      <c r="L436">
        <v>43</v>
      </c>
      <c r="M436">
        <v>118</v>
      </c>
      <c r="N436">
        <v>0.36399999999999999</v>
      </c>
      <c r="O436">
        <v>44</v>
      </c>
      <c r="P436">
        <v>110</v>
      </c>
      <c r="Q436">
        <v>0.4</v>
      </c>
      <c r="R436">
        <v>0.47599999999999998</v>
      </c>
      <c r="S436">
        <v>44</v>
      </c>
      <c r="T436">
        <v>56</v>
      </c>
      <c r="U436">
        <v>0.78600000000000003</v>
      </c>
      <c r="V436">
        <v>17</v>
      </c>
      <c r="W436">
        <v>96</v>
      </c>
      <c r="X436">
        <v>113</v>
      </c>
      <c r="Y436">
        <v>130</v>
      </c>
      <c r="Z436">
        <v>40</v>
      </c>
      <c r="AA436">
        <v>4</v>
      </c>
      <c r="AB436">
        <v>81</v>
      </c>
      <c r="AC436">
        <v>76</v>
      </c>
      <c r="AD436">
        <v>261</v>
      </c>
    </row>
    <row r="437" spans="1:30" x14ac:dyDescent="0.3">
      <c r="A437">
        <v>340</v>
      </c>
      <c r="B437" t="s">
        <v>2333</v>
      </c>
      <c r="C437" t="s">
        <v>1961</v>
      </c>
      <c r="D437">
        <v>30</v>
      </c>
      <c r="E437" t="s">
        <v>1968</v>
      </c>
      <c r="F437">
        <v>54</v>
      </c>
      <c r="G437">
        <v>1</v>
      </c>
      <c r="H437">
        <v>1193</v>
      </c>
      <c r="I437">
        <v>188</v>
      </c>
      <c r="J437">
        <v>503</v>
      </c>
      <c r="K437">
        <v>0.374</v>
      </c>
      <c r="L437">
        <v>50</v>
      </c>
      <c r="M437">
        <v>164</v>
      </c>
      <c r="N437">
        <v>0.30499999999999999</v>
      </c>
      <c r="O437">
        <v>138</v>
      </c>
      <c r="P437">
        <v>339</v>
      </c>
      <c r="Q437">
        <v>0.40699999999999997</v>
      </c>
      <c r="R437">
        <v>0.42299999999999999</v>
      </c>
      <c r="S437">
        <v>117</v>
      </c>
      <c r="T437">
        <v>135</v>
      </c>
      <c r="U437">
        <v>0.86699999999999999</v>
      </c>
      <c r="V437">
        <v>14</v>
      </c>
      <c r="W437">
        <v>115</v>
      </c>
      <c r="X437">
        <v>129</v>
      </c>
      <c r="Y437">
        <v>100</v>
      </c>
      <c r="Z437">
        <v>23</v>
      </c>
      <c r="AA437">
        <v>1</v>
      </c>
      <c r="AB437">
        <v>65</v>
      </c>
      <c r="AC437">
        <v>88</v>
      </c>
      <c r="AD437">
        <v>543</v>
      </c>
    </row>
    <row r="438" spans="1:30" x14ac:dyDescent="0.3">
      <c r="A438">
        <v>340</v>
      </c>
      <c r="B438" t="s">
        <v>2333</v>
      </c>
      <c r="C438" t="s">
        <v>1961</v>
      </c>
      <c r="D438">
        <v>30</v>
      </c>
      <c r="E438" t="s">
        <v>2036</v>
      </c>
      <c r="F438">
        <v>43</v>
      </c>
      <c r="G438">
        <v>0</v>
      </c>
      <c r="H438">
        <v>931</v>
      </c>
      <c r="I438">
        <v>143</v>
      </c>
      <c r="J438">
        <v>398</v>
      </c>
      <c r="K438">
        <v>0.35899999999999999</v>
      </c>
      <c r="L438">
        <v>39</v>
      </c>
      <c r="M438">
        <v>133</v>
      </c>
      <c r="N438">
        <v>0.29299999999999998</v>
      </c>
      <c r="O438">
        <v>104</v>
      </c>
      <c r="P438">
        <v>265</v>
      </c>
      <c r="Q438">
        <v>0.39200000000000002</v>
      </c>
      <c r="R438">
        <v>0.40799999999999997</v>
      </c>
      <c r="S438">
        <v>88</v>
      </c>
      <c r="T438">
        <v>102</v>
      </c>
      <c r="U438">
        <v>0.86299999999999999</v>
      </c>
      <c r="V438">
        <v>14</v>
      </c>
      <c r="W438">
        <v>80</v>
      </c>
      <c r="X438">
        <v>94</v>
      </c>
      <c r="Y438">
        <v>80</v>
      </c>
      <c r="Z438">
        <v>16</v>
      </c>
      <c r="AA438">
        <v>1</v>
      </c>
      <c r="AB438">
        <v>55</v>
      </c>
      <c r="AC438">
        <v>70</v>
      </c>
      <c r="AD438">
        <v>413</v>
      </c>
    </row>
    <row r="439" spans="1:30" x14ac:dyDescent="0.3">
      <c r="A439">
        <v>340</v>
      </c>
      <c r="B439" t="s">
        <v>2333</v>
      </c>
      <c r="C439" t="s">
        <v>1961</v>
      </c>
      <c r="D439">
        <v>30</v>
      </c>
      <c r="E439" t="s">
        <v>1966</v>
      </c>
      <c r="F439">
        <v>11</v>
      </c>
      <c r="G439">
        <v>1</v>
      </c>
      <c r="H439">
        <v>262</v>
      </c>
      <c r="I439">
        <v>45</v>
      </c>
      <c r="J439">
        <v>105</v>
      </c>
      <c r="K439">
        <v>0.42899999999999999</v>
      </c>
      <c r="L439">
        <v>11</v>
      </c>
      <c r="M439">
        <v>31</v>
      </c>
      <c r="N439">
        <v>0.35499999999999998</v>
      </c>
      <c r="O439">
        <v>34</v>
      </c>
      <c r="P439">
        <v>74</v>
      </c>
      <c r="Q439">
        <v>0.45900000000000002</v>
      </c>
      <c r="R439">
        <v>0.48099999999999998</v>
      </c>
      <c r="S439">
        <v>29</v>
      </c>
      <c r="T439">
        <v>33</v>
      </c>
      <c r="U439">
        <v>0.879</v>
      </c>
      <c r="V439">
        <v>0</v>
      </c>
      <c r="W439">
        <v>35</v>
      </c>
      <c r="X439">
        <v>35</v>
      </c>
      <c r="Y439">
        <v>20</v>
      </c>
      <c r="Z439">
        <v>7</v>
      </c>
      <c r="AA439">
        <v>0</v>
      </c>
      <c r="AB439">
        <v>10</v>
      </c>
      <c r="AC439">
        <v>18</v>
      </c>
      <c r="AD439">
        <v>130</v>
      </c>
    </row>
    <row r="440" spans="1:30" x14ac:dyDescent="0.3">
      <c r="A440" t="s">
        <v>1929</v>
      </c>
      <c r="B440" t="s">
        <v>1930</v>
      </c>
      <c r="C440" t="s">
        <v>1931</v>
      </c>
      <c r="D440" t="s">
        <v>198</v>
      </c>
      <c r="E440" t="s">
        <v>1932</v>
      </c>
      <c r="F440" t="s">
        <v>1933</v>
      </c>
      <c r="G440" t="s">
        <v>1934</v>
      </c>
      <c r="H440" t="s">
        <v>1935</v>
      </c>
      <c r="I440" t="s">
        <v>1936</v>
      </c>
      <c r="J440" t="s">
        <v>1937</v>
      </c>
      <c r="K440" t="s">
        <v>1938</v>
      </c>
      <c r="L440" t="s">
        <v>1939</v>
      </c>
      <c r="M440" t="s">
        <v>1940</v>
      </c>
      <c r="N440" t="s">
        <v>1941</v>
      </c>
      <c r="O440" t="s">
        <v>1942</v>
      </c>
      <c r="P440" t="s">
        <v>1943</v>
      </c>
      <c r="Q440" t="s">
        <v>1944</v>
      </c>
      <c r="R440" t="s">
        <v>1945</v>
      </c>
      <c r="S440" t="s">
        <v>1946</v>
      </c>
      <c r="T440" t="s">
        <v>1947</v>
      </c>
      <c r="U440" t="s">
        <v>1948</v>
      </c>
      <c r="V440" t="s">
        <v>1949</v>
      </c>
      <c r="W440" t="s">
        <v>1950</v>
      </c>
      <c r="X440" t="s">
        <v>1951</v>
      </c>
      <c r="Y440" t="s">
        <v>1952</v>
      </c>
      <c r="Z440" t="s">
        <v>1953</v>
      </c>
      <c r="AA440" t="s">
        <v>1954</v>
      </c>
      <c r="AB440" t="s">
        <v>1955</v>
      </c>
      <c r="AC440" t="s">
        <v>1956</v>
      </c>
      <c r="AD440" t="s">
        <v>1957</v>
      </c>
    </row>
    <row r="441" spans="1:30" x14ac:dyDescent="0.3">
      <c r="A441">
        <v>341</v>
      </c>
      <c r="B441" t="s">
        <v>2334</v>
      </c>
      <c r="C441" t="s">
        <v>2004</v>
      </c>
      <c r="D441">
        <v>32</v>
      </c>
      <c r="E441" t="s">
        <v>1968</v>
      </c>
      <c r="F441">
        <v>63</v>
      </c>
      <c r="G441">
        <v>29</v>
      </c>
      <c r="H441">
        <v>1407</v>
      </c>
      <c r="I441">
        <v>205</v>
      </c>
      <c r="J441">
        <v>504</v>
      </c>
      <c r="K441">
        <v>0.40699999999999997</v>
      </c>
      <c r="L441">
        <v>89</v>
      </c>
      <c r="M441">
        <v>258</v>
      </c>
      <c r="N441">
        <v>0.34499999999999997</v>
      </c>
      <c r="O441">
        <v>116</v>
      </c>
      <c r="P441">
        <v>246</v>
      </c>
      <c r="Q441">
        <v>0.47199999999999998</v>
      </c>
      <c r="R441">
        <v>0.495</v>
      </c>
      <c r="S441">
        <v>24</v>
      </c>
      <c r="T441">
        <v>36</v>
      </c>
      <c r="U441">
        <v>0.66700000000000004</v>
      </c>
      <c r="V441">
        <v>33</v>
      </c>
      <c r="W441">
        <v>113</v>
      </c>
      <c r="X441">
        <v>146</v>
      </c>
      <c r="Y441">
        <v>253</v>
      </c>
      <c r="Z441">
        <v>47</v>
      </c>
      <c r="AA441">
        <v>6</v>
      </c>
      <c r="AB441">
        <v>109</v>
      </c>
      <c r="AC441">
        <v>136</v>
      </c>
      <c r="AD441">
        <v>523</v>
      </c>
    </row>
    <row r="442" spans="1:30" x14ac:dyDescent="0.3">
      <c r="A442">
        <v>341</v>
      </c>
      <c r="B442" t="s">
        <v>2334</v>
      </c>
      <c r="C442" t="s">
        <v>2004</v>
      </c>
      <c r="D442">
        <v>32</v>
      </c>
      <c r="E442" t="s">
        <v>1982</v>
      </c>
      <c r="F442">
        <v>23</v>
      </c>
      <c r="G442">
        <v>23</v>
      </c>
      <c r="H442">
        <v>584</v>
      </c>
      <c r="I442">
        <v>61</v>
      </c>
      <c r="J442">
        <v>163</v>
      </c>
      <c r="K442">
        <v>0.374</v>
      </c>
      <c r="L442">
        <v>38</v>
      </c>
      <c r="M442">
        <v>103</v>
      </c>
      <c r="N442">
        <v>0.36899999999999999</v>
      </c>
      <c r="O442">
        <v>23</v>
      </c>
      <c r="P442">
        <v>60</v>
      </c>
      <c r="Q442">
        <v>0.38300000000000001</v>
      </c>
      <c r="R442">
        <v>0.49099999999999999</v>
      </c>
      <c r="S442">
        <v>7</v>
      </c>
      <c r="T442">
        <v>8</v>
      </c>
      <c r="U442">
        <v>0.875</v>
      </c>
      <c r="V442">
        <v>14</v>
      </c>
      <c r="W442">
        <v>49</v>
      </c>
      <c r="X442">
        <v>63</v>
      </c>
      <c r="Y442">
        <v>95</v>
      </c>
      <c r="Z442">
        <v>15</v>
      </c>
      <c r="AA442">
        <v>2</v>
      </c>
      <c r="AB442">
        <v>39</v>
      </c>
      <c r="AC442">
        <v>53</v>
      </c>
      <c r="AD442">
        <v>167</v>
      </c>
    </row>
    <row r="443" spans="1:30" x14ac:dyDescent="0.3">
      <c r="A443">
        <v>341</v>
      </c>
      <c r="B443" t="s">
        <v>2334</v>
      </c>
      <c r="C443" t="s">
        <v>2004</v>
      </c>
      <c r="D443">
        <v>32</v>
      </c>
      <c r="E443" t="s">
        <v>2020</v>
      </c>
      <c r="F443">
        <v>6</v>
      </c>
      <c r="G443">
        <v>1</v>
      </c>
      <c r="H443">
        <v>121</v>
      </c>
      <c r="I443">
        <v>9</v>
      </c>
      <c r="J443">
        <v>41</v>
      </c>
      <c r="K443">
        <v>0.22</v>
      </c>
      <c r="L443">
        <v>5</v>
      </c>
      <c r="M443">
        <v>25</v>
      </c>
      <c r="N443">
        <v>0.2</v>
      </c>
      <c r="O443">
        <v>4</v>
      </c>
      <c r="P443">
        <v>16</v>
      </c>
      <c r="Q443">
        <v>0.25</v>
      </c>
      <c r="R443">
        <v>0.28000000000000003</v>
      </c>
      <c r="S443">
        <v>6</v>
      </c>
      <c r="T443">
        <v>9</v>
      </c>
      <c r="U443">
        <v>0.66700000000000004</v>
      </c>
      <c r="V443">
        <v>3</v>
      </c>
      <c r="W443">
        <v>14</v>
      </c>
      <c r="X443">
        <v>17</v>
      </c>
      <c r="Y443">
        <v>33</v>
      </c>
      <c r="Z443">
        <v>7</v>
      </c>
      <c r="AA443">
        <v>0</v>
      </c>
      <c r="AB443">
        <v>9</v>
      </c>
      <c r="AC443">
        <v>13</v>
      </c>
      <c r="AD443">
        <v>29</v>
      </c>
    </row>
    <row r="444" spans="1:30" x14ac:dyDescent="0.3">
      <c r="A444">
        <v>341</v>
      </c>
      <c r="B444" t="s">
        <v>2334</v>
      </c>
      <c r="C444" t="s">
        <v>2004</v>
      </c>
      <c r="D444">
        <v>32</v>
      </c>
      <c r="E444" t="s">
        <v>1969</v>
      </c>
      <c r="F444">
        <v>34</v>
      </c>
      <c r="G444">
        <v>5</v>
      </c>
      <c r="H444">
        <v>702</v>
      </c>
      <c r="I444">
        <v>135</v>
      </c>
      <c r="J444">
        <v>300</v>
      </c>
      <c r="K444">
        <v>0.45</v>
      </c>
      <c r="L444">
        <v>46</v>
      </c>
      <c r="M444">
        <v>130</v>
      </c>
      <c r="N444">
        <v>0.35399999999999998</v>
      </c>
      <c r="O444">
        <v>89</v>
      </c>
      <c r="P444">
        <v>170</v>
      </c>
      <c r="Q444">
        <v>0.52400000000000002</v>
      </c>
      <c r="R444">
        <v>0.52700000000000002</v>
      </c>
      <c r="S444">
        <v>11</v>
      </c>
      <c r="T444">
        <v>19</v>
      </c>
      <c r="U444">
        <v>0.57899999999999996</v>
      </c>
      <c r="V444">
        <v>16</v>
      </c>
      <c r="W444">
        <v>50</v>
      </c>
      <c r="X444">
        <v>66</v>
      </c>
      <c r="Y444">
        <v>125</v>
      </c>
      <c r="Z444">
        <v>25</v>
      </c>
      <c r="AA444">
        <v>4</v>
      </c>
      <c r="AB444">
        <v>61</v>
      </c>
      <c r="AC444">
        <v>70</v>
      </c>
      <c r="AD444">
        <v>327</v>
      </c>
    </row>
    <row r="445" spans="1:30" x14ac:dyDescent="0.3">
      <c r="A445">
        <v>342</v>
      </c>
      <c r="B445" t="s">
        <v>2335</v>
      </c>
      <c r="C445" t="s">
        <v>1956</v>
      </c>
      <c r="D445">
        <v>25</v>
      </c>
      <c r="E445" t="s">
        <v>2113</v>
      </c>
      <c r="F445">
        <v>40</v>
      </c>
      <c r="G445">
        <v>3</v>
      </c>
      <c r="H445">
        <v>492</v>
      </c>
      <c r="I445">
        <v>83</v>
      </c>
      <c r="J445">
        <v>190</v>
      </c>
      <c r="K445">
        <v>0.437</v>
      </c>
      <c r="L445">
        <v>13</v>
      </c>
      <c r="M445">
        <v>41</v>
      </c>
      <c r="N445">
        <v>0.317</v>
      </c>
      <c r="O445">
        <v>70</v>
      </c>
      <c r="P445">
        <v>149</v>
      </c>
      <c r="Q445">
        <v>0.47</v>
      </c>
      <c r="R445">
        <v>0.47099999999999997</v>
      </c>
      <c r="S445">
        <v>15</v>
      </c>
      <c r="T445">
        <v>25</v>
      </c>
      <c r="U445">
        <v>0.6</v>
      </c>
      <c r="V445">
        <v>17</v>
      </c>
      <c r="W445">
        <v>65</v>
      </c>
      <c r="X445">
        <v>82</v>
      </c>
      <c r="Y445">
        <v>22</v>
      </c>
      <c r="Z445">
        <v>6</v>
      </c>
      <c r="AA445">
        <v>12</v>
      </c>
      <c r="AB445">
        <v>24</v>
      </c>
      <c r="AC445">
        <v>51</v>
      </c>
      <c r="AD445">
        <v>194</v>
      </c>
    </row>
    <row r="446" spans="1:30" x14ac:dyDescent="0.3">
      <c r="A446">
        <v>343</v>
      </c>
      <c r="B446" t="s">
        <v>2336</v>
      </c>
      <c r="C446" t="s">
        <v>213</v>
      </c>
      <c r="D446">
        <v>29</v>
      </c>
      <c r="E446" t="s">
        <v>2008</v>
      </c>
      <c r="F446">
        <v>67</v>
      </c>
      <c r="G446">
        <v>67</v>
      </c>
      <c r="H446">
        <v>2049</v>
      </c>
      <c r="I446">
        <v>190</v>
      </c>
      <c r="J446">
        <v>427</v>
      </c>
      <c r="K446">
        <v>0.44500000000000001</v>
      </c>
      <c r="L446">
        <v>0</v>
      </c>
      <c r="M446">
        <v>2</v>
      </c>
      <c r="N446">
        <v>0</v>
      </c>
      <c r="O446">
        <v>190</v>
      </c>
      <c r="P446">
        <v>425</v>
      </c>
      <c r="Q446">
        <v>0.44700000000000001</v>
      </c>
      <c r="R446">
        <v>0.44500000000000001</v>
      </c>
      <c r="S446">
        <v>105</v>
      </c>
      <c r="T446">
        <v>174</v>
      </c>
      <c r="U446">
        <v>0.60299999999999998</v>
      </c>
      <c r="V446">
        <v>219</v>
      </c>
      <c r="W446">
        <v>427</v>
      </c>
      <c r="X446">
        <v>646</v>
      </c>
      <c r="Y446">
        <v>312</v>
      </c>
      <c r="Z446">
        <v>48</v>
      </c>
      <c r="AA446">
        <v>74</v>
      </c>
      <c r="AB446">
        <v>123</v>
      </c>
      <c r="AC446">
        <v>203</v>
      </c>
      <c r="AD446">
        <v>485</v>
      </c>
    </row>
    <row r="447" spans="1:30" x14ac:dyDescent="0.3">
      <c r="A447">
        <v>344</v>
      </c>
      <c r="B447" t="s">
        <v>2337</v>
      </c>
      <c r="C447" t="s">
        <v>213</v>
      </c>
      <c r="D447">
        <v>20</v>
      </c>
      <c r="E447" t="s">
        <v>1974</v>
      </c>
      <c r="F447">
        <v>75</v>
      </c>
      <c r="G447">
        <v>71</v>
      </c>
      <c r="H447">
        <v>2311</v>
      </c>
      <c r="I447">
        <v>302</v>
      </c>
      <c r="J447">
        <v>653</v>
      </c>
      <c r="K447">
        <v>0.46200000000000002</v>
      </c>
      <c r="L447">
        <v>0</v>
      </c>
      <c r="M447">
        <v>0</v>
      </c>
      <c r="O447">
        <v>302</v>
      </c>
      <c r="P447">
        <v>653</v>
      </c>
      <c r="Q447">
        <v>0.46200000000000002</v>
      </c>
      <c r="R447">
        <v>0.46200000000000002</v>
      </c>
      <c r="S447">
        <v>140</v>
      </c>
      <c r="T447">
        <v>230</v>
      </c>
      <c r="U447">
        <v>0.60899999999999999</v>
      </c>
      <c r="V447">
        <v>185</v>
      </c>
      <c r="W447">
        <v>426</v>
      </c>
      <c r="X447">
        <v>611</v>
      </c>
      <c r="Y447">
        <v>128</v>
      </c>
      <c r="Z447">
        <v>133</v>
      </c>
      <c r="AA447">
        <v>142</v>
      </c>
      <c r="AB447">
        <v>146</v>
      </c>
      <c r="AC447">
        <v>208</v>
      </c>
      <c r="AD447">
        <v>744</v>
      </c>
    </row>
    <row r="448" spans="1:30" x14ac:dyDescent="0.3">
      <c r="A448">
        <v>345</v>
      </c>
      <c r="B448" t="s">
        <v>2338</v>
      </c>
      <c r="C448" t="s">
        <v>213</v>
      </c>
      <c r="D448">
        <v>22</v>
      </c>
      <c r="E448" t="s">
        <v>2068</v>
      </c>
      <c r="F448">
        <v>6</v>
      </c>
      <c r="G448">
        <v>0</v>
      </c>
      <c r="H448">
        <v>23</v>
      </c>
      <c r="I448">
        <v>2</v>
      </c>
      <c r="J448">
        <v>8</v>
      </c>
      <c r="K448">
        <v>0.25</v>
      </c>
      <c r="L448">
        <v>0</v>
      </c>
      <c r="M448">
        <v>0</v>
      </c>
      <c r="O448">
        <v>2</v>
      </c>
      <c r="P448">
        <v>8</v>
      </c>
      <c r="Q448">
        <v>0.25</v>
      </c>
      <c r="R448">
        <v>0.25</v>
      </c>
      <c r="S448">
        <v>2</v>
      </c>
      <c r="T448">
        <v>4</v>
      </c>
      <c r="U448">
        <v>0.5</v>
      </c>
      <c r="V448">
        <v>2</v>
      </c>
      <c r="W448">
        <v>9</v>
      </c>
      <c r="X448">
        <v>11</v>
      </c>
      <c r="Y448">
        <v>1</v>
      </c>
      <c r="Z448">
        <v>2</v>
      </c>
      <c r="AA448">
        <v>0</v>
      </c>
      <c r="AB448">
        <v>2</v>
      </c>
      <c r="AC448">
        <v>6</v>
      </c>
      <c r="AD448">
        <v>6</v>
      </c>
    </row>
    <row r="449" spans="1:30" x14ac:dyDescent="0.3">
      <c r="A449">
        <v>346</v>
      </c>
      <c r="B449" t="s">
        <v>2339</v>
      </c>
      <c r="C449" t="s">
        <v>2340</v>
      </c>
      <c r="D449">
        <v>31</v>
      </c>
      <c r="E449" t="s">
        <v>1968</v>
      </c>
      <c r="F449">
        <v>35</v>
      </c>
      <c r="G449">
        <v>0</v>
      </c>
      <c r="H449">
        <v>197</v>
      </c>
      <c r="I449">
        <v>22</v>
      </c>
      <c r="J449">
        <v>56</v>
      </c>
      <c r="K449">
        <v>0.39300000000000002</v>
      </c>
      <c r="L449">
        <v>19</v>
      </c>
      <c r="M449">
        <v>48</v>
      </c>
      <c r="N449">
        <v>0.39600000000000002</v>
      </c>
      <c r="O449">
        <v>3</v>
      </c>
      <c r="P449">
        <v>8</v>
      </c>
      <c r="Q449">
        <v>0.375</v>
      </c>
      <c r="R449">
        <v>0.56299999999999994</v>
      </c>
      <c r="S449">
        <v>0</v>
      </c>
      <c r="T449">
        <v>2</v>
      </c>
      <c r="U449">
        <v>0</v>
      </c>
      <c r="V449">
        <v>2</v>
      </c>
      <c r="W449">
        <v>20</v>
      </c>
      <c r="X449">
        <v>22</v>
      </c>
      <c r="Y449">
        <v>11</v>
      </c>
      <c r="Z449">
        <v>0</v>
      </c>
      <c r="AA449">
        <v>2</v>
      </c>
      <c r="AB449">
        <v>5</v>
      </c>
      <c r="AC449">
        <v>23</v>
      </c>
      <c r="AD449">
        <v>63</v>
      </c>
    </row>
    <row r="450" spans="1:30" x14ac:dyDescent="0.3">
      <c r="A450">
        <v>346</v>
      </c>
      <c r="B450" t="s">
        <v>2339</v>
      </c>
      <c r="C450" t="s">
        <v>1981</v>
      </c>
      <c r="D450">
        <v>31</v>
      </c>
      <c r="E450" t="s">
        <v>2030</v>
      </c>
      <c r="F450">
        <v>22</v>
      </c>
      <c r="G450">
        <v>0</v>
      </c>
      <c r="H450">
        <v>109</v>
      </c>
      <c r="I450">
        <v>16</v>
      </c>
      <c r="J450">
        <v>35</v>
      </c>
      <c r="K450">
        <v>0.45700000000000002</v>
      </c>
      <c r="L450">
        <v>16</v>
      </c>
      <c r="M450">
        <v>33</v>
      </c>
      <c r="N450">
        <v>0.48499999999999999</v>
      </c>
      <c r="O450">
        <v>0</v>
      </c>
      <c r="P450">
        <v>2</v>
      </c>
      <c r="Q450">
        <v>0</v>
      </c>
      <c r="R450">
        <v>0.68600000000000005</v>
      </c>
      <c r="S450">
        <v>0</v>
      </c>
      <c r="T450">
        <v>2</v>
      </c>
      <c r="U450">
        <v>0</v>
      </c>
      <c r="V450">
        <v>1</v>
      </c>
      <c r="W450">
        <v>15</v>
      </c>
      <c r="X450">
        <v>16</v>
      </c>
      <c r="Y450">
        <v>6</v>
      </c>
      <c r="Z450">
        <v>0</v>
      </c>
      <c r="AA450">
        <v>1</v>
      </c>
      <c r="AB450">
        <v>3</v>
      </c>
      <c r="AC450">
        <v>13</v>
      </c>
      <c r="AD450">
        <v>48</v>
      </c>
    </row>
    <row r="451" spans="1:30" x14ac:dyDescent="0.3">
      <c r="A451">
        <v>346</v>
      </c>
      <c r="B451" t="s">
        <v>2339</v>
      </c>
      <c r="C451" t="s">
        <v>1956</v>
      </c>
      <c r="D451">
        <v>31</v>
      </c>
      <c r="E451" t="s">
        <v>1964</v>
      </c>
      <c r="F451">
        <v>13</v>
      </c>
      <c r="G451">
        <v>0</v>
      </c>
      <c r="H451">
        <v>88</v>
      </c>
      <c r="I451">
        <v>6</v>
      </c>
      <c r="J451">
        <v>21</v>
      </c>
      <c r="K451">
        <v>0.28599999999999998</v>
      </c>
      <c r="L451">
        <v>3</v>
      </c>
      <c r="M451">
        <v>15</v>
      </c>
      <c r="N451">
        <v>0.2</v>
      </c>
      <c r="O451">
        <v>3</v>
      </c>
      <c r="P451">
        <v>6</v>
      </c>
      <c r="Q451">
        <v>0.5</v>
      </c>
      <c r="R451">
        <v>0.35699999999999998</v>
      </c>
      <c r="S451">
        <v>0</v>
      </c>
      <c r="T451">
        <v>0</v>
      </c>
      <c r="V451">
        <v>1</v>
      </c>
      <c r="W451">
        <v>5</v>
      </c>
      <c r="X451">
        <v>6</v>
      </c>
      <c r="Y451">
        <v>5</v>
      </c>
      <c r="Z451">
        <v>0</v>
      </c>
      <c r="AA451">
        <v>1</v>
      </c>
      <c r="AB451">
        <v>2</v>
      </c>
      <c r="AC451">
        <v>10</v>
      </c>
      <c r="AD451">
        <v>15</v>
      </c>
    </row>
    <row r="452" spans="1:30" x14ac:dyDescent="0.3">
      <c r="A452">
        <v>347</v>
      </c>
      <c r="B452" t="s">
        <v>2341</v>
      </c>
      <c r="C452" t="s">
        <v>1956</v>
      </c>
      <c r="D452">
        <v>36</v>
      </c>
      <c r="E452" t="s">
        <v>1982</v>
      </c>
      <c r="F452">
        <v>77</v>
      </c>
      <c r="G452">
        <v>77</v>
      </c>
      <c r="H452">
        <v>2282</v>
      </c>
      <c r="I452">
        <v>487</v>
      </c>
      <c r="J452">
        <v>1062</v>
      </c>
      <c r="K452">
        <v>0.45900000000000002</v>
      </c>
      <c r="L452">
        <v>104</v>
      </c>
      <c r="M452">
        <v>274</v>
      </c>
      <c r="N452">
        <v>0.38</v>
      </c>
      <c r="O452">
        <v>383</v>
      </c>
      <c r="P452">
        <v>788</v>
      </c>
      <c r="Q452">
        <v>0.48599999999999999</v>
      </c>
      <c r="R452">
        <v>0.50800000000000001</v>
      </c>
      <c r="S452">
        <v>255</v>
      </c>
      <c r="T452">
        <v>289</v>
      </c>
      <c r="U452">
        <v>0.88200000000000001</v>
      </c>
      <c r="V452">
        <v>44</v>
      </c>
      <c r="W452">
        <v>413</v>
      </c>
      <c r="X452">
        <v>457</v>
      </c>
      <c r="Y452">
        <v>143</v>
      </c>
      <c r="Z452">
        <v>39</v>
      </c>
      <c r="AA452">
        <v>33</v>
      </c>
      <c r="AB452">
        <v>82</v>
      </c>
      <c r="AC452">
        <v>160</v>
      </c>
      <c r="AD452">
        <v>1333</v>
      </c>
    </row>
    <row r="453" spans="1:30" x14ac:dyDescent="0.3">
      <c r="A453">
        <v>348</v>
      </c>
      <c r="B453" t="s">
        <v>2342</v>
      </c>
      <c r="C453" t="s">
        <v>213</v>
      </c>
      <c r="D453">
        <v>20</v>
      </c>
      <c r="E453" t="s">
        <v>1969</v>
      </c>
      <c r="F453">
        <v>62</v>
      </c>
      <c r="G453">
        <v>27</v>
      </c>
      <c r="H453">
        <v>1103</v>
      </c>
      <c r="I453">
        <v>171</v>
      </c>
      <c r="J453">
        <v>383</v>
      </c>
      <c r="K453">
        <v>0.44600000000000001</v>
      </c>
      <c r="L453">
        <v>0</v>
      </c>
      <c r="M453">
        <v>2</v>
      </c>
      <c r="N453">
        <v>0</v>
      </c>
      <c r="O453">
        <v>171</v>
      </c>
      <c r="P453">
        <v>381</v>
      </c>
      <c r="Q453">
        <v>0.44900000000000001</v>
      </c>
      <c r="R453">
        <v>0.44600000000000001</v>
      </c>
      <c r="S453">
        <v>84</v>
      </c>
      <c r="T453">
        <v>132</v>
      </c>
      <c r="U453">
        <v>0.63600000000000001</v>
      </c>
      <c r="V453">
        <v>125</v>
      </c>
      <c r="W453">
        <v>257</v>
      </c>
      <c r="X453">
        <v>382</v>
      </c>
      <c r="Y453">
        <v>50</v>
      </c>
      <c r="Z453">
        <v>52</v>
      </c>
      <c r="AA453">
        <v>68</v>
      </c>
      <c r="AB453">
        <v>86</v>
      </c>
      <c r="AC453">
        <v>207</v>
      </c>
      <c r="AD453">
        <v>426</v>
      </c>
    </row>
    <row r="454" spans="1:30" x14ac:dyDescent="0.3">
      <c r="A454">
        <v>349</v>
      </c>
      <c r="B454" t="s">
        <v>2343</v>
      </c>
      <c r="C454" t="s">
        <v>1956</v>
      </c>
      <c r="D454">
        <v>21</v>
      </c>
      <c r="E454" t="s">
        <v>1993</v>
      </c>
      <c r="F454">
        <v>34</v>
      </c>
      <c r="G454">
        <v>15</v>
      </c>
      <c r="H454">
        <v>368</v>
      </c>
      <c r="I454">
        <v>44</v>
      </c>
      <c r="J454">
        <v>120</v>
      </c>
      <c r="K454">
        <v>0.36699999999999999</v>
      </c>
      <c r="L454">
        <v>0</v>
      </c>
      <c r="M454">
        <v>0</v>
      </c>
      <c r="O454">
        <v>44</v>
      </c>
      <c r="P454">
        <v>120</v>
      </c>
      <c r="Q454">
        <v>0.36699999999999999</v>
      </c>
      <c r="R454">
        <v>0.36699999999999999</v>
      </c>
      <c r="S454">
        <v>12</v>
      </c>
      <c r="T454">
        <v>27</v>
      </c>
      <c r="U454">
        <v>0.44400000000000001</v>
      </c>
      <c r="V454">
        <v>26</v>
      </c>
      <c r="W454">
        <v>38</v>
      </c>
      <c r="X454">
        <v>64</v>
      </c>
      <c r="Y454">
        <v>17</v>
      </c>
      <c r="Z454">
        <v>5</v>
      </c>
      <c r="AA454">
        <v>4</v>
      </c>
      <c r="AB454">
        <v>25</v>
      </c>
      <c r="AC454">
        <v>44</v>
      </c>
      <c r="AD454">
        <v>100</v>
      </c>
    </row>
    <row r="455" spans="1:30" x14ac:dyDescent="0.3">
      <c r="A455">
        <v>350</v>
      </c>
      <c r="B455" t="s">
        <v>2344</v>
      </c>
      <c r="C455" t="s">
        <v>1956</v>
      </c>
      <c r="D455">
        <v>24</v>
      </c>
      <c r="E455" t="s">
        <v>2113</v>
      </c>
      <c r="F455">
        <v>51</v>
      </c>
      <c r="G455">
        <v>17</v>
      </c>
      <c r="H455">
        <v>824</v>
      </c>
      <c r="I455">
        <v>119</v>
      </c>
      <c r="J455">
        <v>242</v>
      </c>
      <c r="K455">
        <v>0.49199999999999999</v>
      </c>
      <c r="L455">
        <v>12</v>
      </c>
      <c r="M455">
        <v>43</v>
      </c>
      <c r="N455">
        <v>0.27900000000000003</v>
      </c>
      <c r="O455">
        <v>107</v>
      </c>
      <c r="P455">
        <v>199</v>
      </c>
      <c r="Q455">
        <v>0.53800000000000003</v>
      </c>
      <c r="R455">
        <v>0.51700000000000002</v>
      </c>
      <c r="S455">
        <v>44</v>
      </c>
      <c r="T455">
        <v>57</v>
      </c>
      <c r="U455">
        <v>0.77200000000000002</v>
      </c>
      <c r="V455">
        <v>46</v>
      </c>
      <c r="W455">
        <v>153</v>
      </c>
      <c r="X455">
        <v>199</v>
      </c>
      <c r="Y455">
        <v>59</v>
      </c>
      <c r="Z455">
        <v>31</v>
      </c>
      <c r="AA455">
        <v>39</v>
      </c>
      <c r="AB455">
        <v>55</v>
      </c>
      <c r="AC455">
        <v>110</v>
      </c>
      <c r="AD455">
        <v>294</v>
      </c>
    </row>
    <row r="456" spans="1:30" x14ac:dyDescent="0.3">
      <c r="A456">
        <v>351</v>
      </c>
      <c r="B456" t="s">
        <v>2345</v>
      </c>
      <c r="C456" t="s">
        <v>1961</v>
      </c>
      <c r="D456">
        <v>22</v>
      </c>
      <c r="E456" t="s">
        <v>2113</v>
      </c>
      <c r="F456">
        <v>72</v>
      </c>
      <c r="G456">
        <v>71</v>
      </c>
      <c r="H456">
        <v>2573</v>
      </c>
      <c r="I456">
        <v>473</v>
      </c>
      <c r="J456">
        <v>1086</v>
      </c>
      <c r="K456">
        <v>0.436</v>
      </c>
      <c r="L456">
        <v>84</v>
      </c>
      <c r="M456">
        <v>248</v>
      </c>
      <c r="N456">
        <v>0.33900000000000002</v>
      </c>
      <c r="O456">
        <v>389</v>
      </c>
      <c r="P456">
        <v>838</v>
      </c>
      <c r="Q456">
        <v>0.46400000000000002</v>
      </c>
      <c r="R456">
        <v>0.47399999999999998</v>
      </c>
      <c r="S456">
        <v>262</v>
      </c>
      <c r="T456">
        <v>320</v>
      </c>
      <c r="U456">
        <v>0.81899999999999995</v>
      </c>
      <c r="V456">
        <v>51</v>
      </c>
      <c r="W456">
        <v>251</v>
      </c>
      <c r="X456">
        <v>302</v>
      </c>
      <c r="Y456">
        <v>295</v>
      </c>
      <c r="Z456">
        <v>120</v>
      </c>
      <c r="AA456">
        <v>19</v>
      </c>
      <c r="AB456">
        <v>204</v>
      </c>
      <c r="AC456">
        <v>187</v>
      </c>
      <c r="AD456">
        <v>1292</v>
      </c>
    </row>
    <row r="457" spans="1:30" x14ac:dyDescent="0.3">
      <c r="A457">
        <v>352</v>
      </c>
      <c r="B457" t="s">
        <v>2346</v>
      </c>
      <c r="C457" t="s">
        <v>213</v>
      </c>
      <c r="D457">
        <v>23</v>
      </c>
      <c r="E457" t="s">
        <v>2020</v>
      </c>
      <c r="F457">
        <v>64</v>
      </c>
      <c r="G457">
        <v>13</v>
      </c>
      <c r="H457">
        <v>1423</v>
      </c>
      <c r="I457">
        <v>251</v>
      </c>
      <c r="J457">
        <v>528</v>
      </c>
      <c r="K457">
        <v>0.47499999999999998</v>
      </c>
      <c r="L457">
        <v>61</v>
      </c>
      <c r="M457">
        <v>175</v>
      </c>
      <c r="N457">
        <v>0.34899999999999998</v>
      </c>
      <c r="O457">
        <v>190</v>
      </c>
      <c r="P457">
        <v>353</v>
      </c>
      <c r="Q457">
        <v>0.53800000000000003</v>
      </c>
      <c r="R457">
        <v>0.53300000000000003</v>
      </c>
      <c r="S457">
        <v>93</v>
      </c>
      <c r="T457">
        <v>136</v>
      </c>
      <c r="U457">
        <v>0.68400000000000005</v>
      </c>
      <c r="V457">
        <v>92</v>
      </c>
      <c r="W457">
        <v>211</v>
      </c>
      <c r="X457">
        <v>303</v>
      </c>
      <c r="Y457">
        <v>109</v>
      </c>
      <c r="Z457">
        <v>64</v>
      </c>
      <c r="AA457">
        <v>39</v>
      </c>
      <c r="AB457">
        <v>98</v>
      </c>
      <c r="AC457">
        <v>213</v>
      </c>
      <c r="AD457">
        <v>656</v>
      </c>
    </row>
    <row r="458" spans="1:30" x14ac:dyDescent="0.3">
      <c r="A458">
        <v>353</v>
      </c>
      <c r="B458" t="s">
        <v>2347</v>
      </c>
      <c r="C458" t="s">
        <v>213</v>
      </c>
      <c r="D458">
        <v>27</v>
      </c>
      <c r="E458" t="s">
        <v>1966</v>
      </c>
      <c r="F458">
        <v>6</v>
      </c>
      <c r="G458">
        <v>1</v>
      </c>
      <c r="H458">
        <v>68</v>
      </c>
      <c r="I458">
        <v>12</v>
      </c>
      <c r="J458">
        <v>14</v>
      </c>
      <c r="K458">
        <v>0.85699999999999998</v>
      </c>
      <c r="L458">
        <v>0</v>
      </c>
      <c r="M458">
        <v>0</v>
      </c>
      <c r="O458">
        <v>12</v>
      </c>
      <c r="P458">
        <v>14</v>
      </c>
      <c r="Q458">
        <v>0.85699999999999998</v>
      </c>
      <c r="R458">
        <v>0.85699999999999998</v>
      </c>
      <c r="S458">
        <v>3</v>
      </c>
      <c r="T458">
        <v>8</v>
      </c>
      <c r="U458">
        <v>0.375</v>
      </c>
      <c r="V458">
        <v>7</v>
      </c>
      <c r="W458">
        <v>14</v>
      </c>
      <c r="X458">
        <v>21</v>
      </c>
      <c r="Y458">
        <v>4</v>
      </c>
      <c r="Z458">
        <v>1</v>
      </c>
      <c r="AA458">
        <v>3</v>
      </c>
      <c r="AB458">
        <v>2</v>
      </c>
      <c r="AC458">
        <v>6</v>
      </c>
      <c r="AD458">
        <v>27</v>
      </c>
    </row>
    <row r="459" spans="1:30" x14ac:dyDescent="0.3">
      <c r="A459">
        <v>354</v>
      </c>
      <c r="B459" t="s">
        <v>2348</v>
      </c>
      <c r="C459" t="s">
        <v>213</v>
      </c>
      <c r="D459">
        <v>30</v>
      </c>
      <c r="E459" t="s">
        <v>1993</v>
      </c>
      <c r="F459">
        <v>73</v>
      </c>
      <c r="G459">
        <v>45</v>
      </c>
      <c r="H459">
        <v>1730</v>
      </c>
      <c r="I459">
        <v>240</v>
      </c>
      <c r="J459">
        <v>529</v>
      </c>
      <c r="K459">
        <v>0.45400000000000001</v>
      </c>
      <c r="L459">
        <v>0</v>
      </c>
      <c r="M459">
        <v>3</v>
      </c>
      <c r="N459">
        <v>0</v>
      </c>
      <c r="O459">
        <v>240</v>
      </c>
      <c r="P459">
        <v>526</v>
      </c>
      <c r="Q459">
        <v>0.45600000000000002</v>
      </c>
      <c r="R459">
        <v>0.45400000000000001</v>
      </c>
      <c r="S459">
        <v>126</v>
      </c>
      <c r="T459">
        <v>160</v>
      </c>
      <c r="U459">
        <v>0.78800000000000003</v>
      </c>
      <c r="V459">
        <v>197</v>
      </c>
      <c r="W459">
        <v>303</v>
      </c>
      <c r="X459">
        <v>500</v>
      </c>
      <c r="Y459">
        <v>178</v>
      </c>
      <c r="Z459">
        <v>80</v>
      </c>
      <c r="AA459">
        <v>21</v>
      </c>
      <c r="AB459">
        <v>133</v>
      </c>
      <c r="AC459">
        <v>170</v>
      </c>
      <c r="AD459">
        <v>606</v>
      </c>
    </row>
    <row r="460" spans="1:30" x14ac:dyDescent="0.3">
      <c r="A460">
        <v>355</v>
      </c>
      <c r="B460" t="s">
        <v>2349</v>
      </c>
      <c r="C460" t="s">
        <v>1981</v>
      </c>
      <c r="D460">
        <v>24</v>
      </c>
      <c r="E460" t="s">
        <v>2000</v>
      </c>
      <c r="F460">
        <v>43</v>
      </c>
      <c r="G460">
        <v>1</v>
      </c>
      <c r="H460">
        <v>795</v>
      </c>
      <c r="I460">
        <v>69</v>
      </c>
      <c r="J460">
        <v>197</v>
      </c>
      <c r="K460">
        <v>0.35</v>
      </c>
      <c r="L460">
        <v>31</v>
      </c>
      <c r="M460">
        <v>106</v>
      </c>
      <c r="N460">
        <v>0.29199999999999998</v>
      </c>
      <c r="O460">
        <v>38</v>
      </c>
      <c r="P460">
        <v>91</v>
      </c>
      <c r="Q460">
        <v>0.41799999999999998</v>
      </c>
      <c r="R460">
        <v>0.42899999999999999</v>
      </c>
      <c r="S460">
        <v>13</v>
      </c>
      <c r="T460">
        <v>18</v>
      </c>
      <c r="U460">
        <v>0.72199999999999998</v>
      </c>
      <c r="V460">
        <v>39</v>
      </c>
      <c r="W460">
        <v>79</v>
      </c>
      <c r="X460">
        <v>118</v>
      </c>
      <c r="Y460">
        <v>85</v>
      </c>
      <c r="Z460">
        <v>29</v>
      </c>
      <c r="AA460">
        <v>13</v>
      </c>
      <c r="AB460">
        <v>55</v>
      </c>
      <c r="AC460">
        <v>71</v>
      </c>
      <c r="AD460">
        <v>182</v>
      </c>
    </row>
    <row r="461" spans="1:30" x14ac:dyDescent="0.3">
      <c r="A461">
        <v>356</v>
      </c>
      <c r="B461" t="s">
        <v>2350</v>
      </c>
      <c r="C461" t="s">
        <v>2004</v>
      </c>
      <c r="D461">
        <v>35</v>
      </c>
      <c r="E461" t="s">
        <v>2036</v>
      </c>
      <c r="F461">
        <v>9</v>
      </c>
      <c r="G461">
        <v>0</v>
      </c>
      <c r="H461">
        <v>73</v>
      </c>
      <c r="I461">
        <v>15</v>
      </c>
      <c r="J461">
        <v>35</v>
      </c>
      <c r="K461">
        <v>0.42899999999999999</v>
      </c>
      <c r="L461">
        <v>9</v>
      </c>
      <c r="M461">
        <v>22</v>
      </c>
      <c r="N461">
        <v>0.40899999999999997</v>
      </c>
      <c r="O461">
        <v>6</v>
      </c>
      <c r="P461">
        <v>13</v>
      </c>
      <c r="Q461">
        <v>0.46200000000000002</v>
      </c>
      <c r="R461">
        <v>0.55700000000000005</v>
      </c>
      <c r="S461">
        <v>2</v>
      </c>
      <c r="T461">
        <v>2</v>
      </c>
      <c r="U461">
        <v>1</v>
      </c>
      <c r="V461">
        <v>0</v>
      </c>
      <c r="W461">
        <v>3</v>
      </c>
      <c r="X461">
        <v>3</v>
      </c>
      <c r="Y461">
        <v>8</v>
      </c>
      <c r="Z461">
        <v>0</v>
      </c>
      <c r="AA461">
        <v>0</v>
      </c>
      <c r="AB461">
        <v>3</v>
      </c>
      <c r="AC461">
        <v>8</v>
      </c>
      <c r="AD461">
        <v>41</v>
      </c>
    </row>
    <row r="462" spans="1:30" x14ac:dyDescent="0.3">
      <c r="A462">
        <v>357</v>
      </c>
      <c r="B462" t="s">
        <v>2351</v>
      </c>
      <c r="C462" t="s">
        <v>1956</v>
      </c>
      <c r="D462">
        <v>19</v>
      </c>
      <c r="E462" t="s">
        <v>1993</v>
      </c>
      <c r="F462">
        <v>25</v>
      </c>
      <c r="G462">
        <v>25</v>
      </c>
      <c r="H462">
        <v>738</v>
      </c>
      <c r="I462">
        <v>129</v>
      </c>
      <c r="J462">
        <v>263</v>
      </c>
      <c r="K462">
        <v>0.49</v>
      </c>
      <c r="L462">
        <v>4</v>
      </c>
      <c r="M462">
        <v>16</v>
      </c>
      <c r="N462">
        <v>0.25</v>
      </c>
      <c r="O462">
        <v>125</v>
      </c>
      <c r="P462">
        <v>247</v>
      </c>
      <c r="Q462">
        <v>0.50600000000000001</v>
      </c>
      <c r="R462">
        <v>0.498</v>
      </c>
      <c r="S462">
        <v>46</v>
      </c>
      <c r="T462">
        <v>66</v>
      </c>
      <c r="U462">
        <v>0.69699999999999995</v>
      </c>
      <c r="V462">
        <v>50</v>
      </c>
      <c r="W462">
        <v>88</v>
      </c>
      <c r="X462">
        <v>138</v>
      </c>
      <c r="Y462">
        <v>42</v>
      </c>
      <c r="Z462">
        <v>31</v>
      </c>
      <c r="AA462">
        <v>5</v>
      </c>
      <c r="AB462">
        <v>47</v>
      </c>
      <c r="AC462">
        <v>42</v>
      </c>
      <c r="AD462">
        <v>308</v>
      </c>
    </row>
    <row r="463" spans="1:30" x14ac:dyDescent="0.3">
      <c r="A463">
        <v>358</v>
      </c>
      <c r="B463" t="s">
        <v>2352</v>
      </c>
      <c r="C463" t="s">
        <v>2004</v>
      </c>
      <c r="D463">
        <v>32</v>
      </c>
      <c r="E463" t="s">
        <v>1990</v>
      </c>
      <c r="F463">
        <v>68</v>
      </c>
      <c r="G463">
        <v>68</v>
      </c>
      <c r="H463">
        <v>1953</v>
      </c>
      <c r="I463">
        <v>404</v>
      </c>
      <c r="J463">
        <v>832</v>
      </c>
      <c r="K463">
        <v>0.48599999999999999</v>
      </c>
      <c r="L463">
        <v>38</v>
      </c>
      <c r="M463">
        <v>89</v>
      </c>
      <c r="N463">
        <v>0.42699999999999999</v>
      </c>
      <c r="O463">
        <v>366</v>
      </c>
      <c r="P463">
        <v>743</v>
      </c>
      <c r="Q463">
        <v>0.49299999999999999</v>
      </c>
      <c r="R463">
        <v>0.50800000000000001</v>
      </c>
      <c r="S463">
        <v>130</v>
      </c>
      <c r="T463">
        <v>166</v>
      </c>
      <c r="U463">
        <v>0.78300000000000003</v>
      </c>
      <c r="V463">
        <v>15</v>
      </c>
      <c r="W463">
        <v>114</v>
      </c>
      <c r="X463">
        <v>129</v>
      </c>
      <c r="Y463">
        <v>335</v>
      </c>
      <c r="Z463">
        <v>44</v>
      </c>
      <c r="AA463">
        <v>2</v>
      </c>
      <c r="AB463">
        <v>146</v>
      </c>
      <c r="AC463">
        <v>108</v>
      </c>
      <c r="AD463">
        <v>976</v>
      </c>
    </row>
    <row r="464" spans="1:30" x14ac:dyDescent="0.3">
      <c r="A464">
        <v>359</v>
      </c>
      <c r="B464" t="s">
        <v>2353</v>
      </c>
      <c r="C464" t="s">
        <v>1981</v>
      </c>
      <c r="D464">
        <v>26</v>
      </c>
      <c r="E464" t="s">
        <v>1982</v>
      </c>
      <c r="F464">
        <v>66</v>
      </c>
      <c r="G464">
        <v>66</v>
      </c>
      <c r="H464">
        <v>2186</v>
      </c>
      <c r="I464">
        <v>383</v>
      </c>
      <c r="J464">
        <v>829</v>
      </c>
      <c r="K464">
        <v>0.46200000000000002</v>
      </c>
      <c r="L464">
        <v>132</v>
      </c>
      <c r="M464">
        <v>347</v>
      </c>
      <c r="N464">
        <v>0.38</v>
      </c>
      <c r="O464">
        <v>251</v>
      </c>
      <c r="P464">
        <v>482</v>
      </c>
      <c r="Q464">
        <v>0.52100000000000002</v>
      </c>
      <c r="R464">
        <v>0.54200000000000004</v>
      </c>
      <c r="S464">
        <v>139</v>
      </c>
      <c r="T464">
        <v>193</v>
      </c>
      <c r="U464">
        <v>0.72</v>
      </c>
      <c r="V464">
        <v>64</v>
      </c>
      <c r="W464">
        <v>259</v>
      </c>
      <c r="X464">
        <v>323</v>
      </c>
      <c r="Y464">
        <v>161</v>
      </c>
      <c r="Z464">
        <v>69</v>
      </c>
      <c r="AA464">
        <v>19</v>
      </c>
      <c r="AB464">
        <v>96</v>
      </c>
      <c r="AC464">
        <v>140</v>
      </c>
      <c r="AD464">
        <v>1037</v>
      </c>
    </row>
    <row r="465" spans="1:30" x14ac:dyDescent="0.3">
      <c r="A465">
        <v>360</v>
      </c>
      <c r="B465" t="s">
        <v>2354</v>
      </c>
      <c r="C465" t="s">
        <v>1956</v>
      </c>
      <c r="D465">
        <v>25</v>
      </c>
      <c r="E465" t="s">
        <v>2068</v>
      </c>
      <c r="F465">
        <v>81</v>
      </c>
      <c r="G465">
        <v>4</v>
      </c>
      <c r="H465">
        <v>2156</v>
      </c>
      <c r="I465">
        <v>240</v>
      </c>
      <c r="J465">
        <v>535</v>
      </c>
      <c r="K465">
        <v>0.44900000000000001</v>
      </c>
      <c r="L465">
        <v>105</v>
      </c>
      <c r="M465">
        <v>283</v>
      </c>
      <c r="N465">
        <v>0.371</v>
      </c>
      <c r="O465">
        <v>135</v>
      </c>
      <c r="P465">
        <v>252</v>
      </c>
      <c r="Q465">
        <v>0.53600000000000003</v>
      </c>
      <c r="R465">
        <v>0.54700000000000004</v>
      </c>
      <c r="S465">
        <v>63</v>
      </c>
      <c r="T465">
        <v>80</v>
      </c>
      <c r="U465">
        <v>0.78800000000000003</v>
      </c>
      <c r="V465">
        <v>127</v>
      </c>
      <c r="W465">
        <v>306</v>
      </c>
      <c r="X465">
        <v>433</v>
      </c>
      <c r="Y465">
        <v>155</v>
      </c>
      <c r="Z465">
        <v>60</v>
      </c>
      <c r="AA465">
        <v>44</v>
      </c>
      <c r="AB465">
        <v>54</v>
      </c>
      <c r="AC465">
        <v>149</v>
      </c>
      <c r="AD465">
        <v>648</v>
      </c>
    </row>
    <row r="466" spans="1:30" x14ac:dyDescent="0.3">
      <c r="A466" t="s">
        <v>1929</v>
      </c>
      <c r="B466" t="s">
        <v>1930</v>
      </c>
      <c r="C466" t="s">
        <v>1931</v>
      </c>
      <c r="D466" t="s">
        <v>198</v>
      </c>
      <c r="E466" t="s">
        <v>1932</v>
      </c>
      <c r="F466" t="s">
        <v>1933</v>
      </c>
      <c r="G466" t="s">
        <v>1934</v>
      </c>
      <c r="H466" t="s">
        <v>1935</v>
      </c>
      <c r="I466" t="s">
        <v>1936</v>
      </c>
      <c r="J466" t="s">
        <v>1937</v>
      </c>
      <c r="K466" t="s">
        <v>1938</v>
      </c>
      <c r="L466" t="s">
        <v>1939</v>
      </c>
      <c r="M466" t="s">
        <v>1940</v>
      </c>
      <c r="N466" t="s">
        <v>1941</v>
      </c>
      <c r="O466" t="s">
        <v>1942</v>
      </c>
      <c r="P466" t="s">
        <v>1943</v>
      </c>
      <c r="Q466" t="s">
        <v>1944</v>
      </c>
      <c r="R466" t="s">
        <v>1945</v>
      </c>
      <c r="S466" t="s">
        <v>1946</v>
      </c>
      <c r="T466" t="s">
        <v>1947</v>
      </c>
      <c r="U466" t="s">
        <v>1948</v>
      </c>
      <c r="V466" t="s">
        <v>1949</v>
      </c>
      <c r="W466" t="s">
        <v>1950</v>
      </c>
      <c r="X466" t="s">
        <v>1951</v>
      </c>
      <c r="Y466" t="s">
        <v>1952</v>
      </c>
      <c r="Z466" t="s">
        <v>1953</v>
      </c>
      <c r="AA466" t="s">
        <v>1954</v>
      </c>
      <c r="AB466" t="s">
        <v>1955</v>
      </c>
      <c r="AC466" t="s">
        <v>1956</v>
      </c>
      <c r="AD466" t="s">
        <v>1957</v>
      </c>
    </row>
    <row r="467" spans="1:30" x14ac:dyDescent="0.3">
      <c r="A467">
        <v>361</v>
      </c>
      <c r="B467" t="s">
        <v>2355</v>
      </c>
      <c r="C467" t="s">
        <v>2004</v>
      </c>
      <c r="D467">
        <v>29</v>
      </c>
      <c r="E467" t="s">
        <v>2015</v>
      </c>
      <c r="F467">
        <v>82</v>
      </c>
      <c r="G467">
        <v>82</v>
      </c>
      <c r="H467">
        <v>2857</v>
      </c>
      <c r="I467">
        <v>568</v>
      </c>
      <c r="J467">
        <v>1170</v>
      </c>
      <c r="K467">
        <v>0.48499999999999999</v>
      </c>
      <c r="L467">
        <v>139</v>
      </c>
      <c r="M467">
        <v>349</v>
      </c>
      <c r="N467">
        <v>0.39800000000000002</v>
      </c>
      <c r="O467">
        <v>429</v>
      </c>
      <c r="P467">
        <v>821</v>
      </c>
      <c r="Q467">
        <v>0.52300000000000002</v>
      </c>
      <c r="R467">
        <v>0.54500000000000004</v>
      </c>
      <c r="S467">
        <v>289</v>
      </c>
      <c r="T467">
        <v>321</v>
      </c>
      <c r="U467">
        <v>0.9</v>
      </c>
      <c r="V467">
        <v>52</v>
      </c>
      <c r="W467">
        <v>324</v>
      </c>
      <c r="X467">
        <v>376</v>
      </c>
      <c r="Y467">
        <v>838</v>
      </c>
      <c r="Z467">
        <v>156</v>
      </c>
      <c r="AA467">
        <v>15</v>
      </c>
      <c r="AB467">
        <v>190</v>
      </c>
      <c r="AC467">
        <v>203</v>
      </c>
      <c r="AD467">
        <v>1564</v>
      </c>
    </row>
    <row r="468" spans="1:30" x14ac:dyDescent="0.3">
      <c r="A468">
        <v>362</v>
      </c>
      <c r="B468" t="s">
        <v>2356</v>
      </c>
      <c r="C468" t="s">
        <v>1956</v>
      </c>
      <c r="D468">
        <v>23</v>
      </c>
      <c r="E468" t="s">
        <v>1968</v>
      </c>
      <c r="F468">
        <v>32</v>
      </c>
      <c r="G468">
        <v>22</v>
      </c>
      <c r="H468">
        <v>739</v>
      </c>
      <c r="I468">
        <v>91</v>
      </c>
      <c r="J468">
        <v>220</v>
      </c>
      <c r="K468">
        <v>0.41399999999999998</v>
      </c>
      <c r="L468">
        <v>1</v>
      </c>
      <c r="M468">
        <v>9</v>
      </c>
      <c r="N468">
        <v>0.111</v>
      </c>
      <c r="O468">
        <v>90</v>
      </c>
      <c r="P468">
        <v>211</v>
      </c>
      <c r="Q468">
        <v>0.42699999999999999</v>
      </c>
      <c r="R468">
        <v>0.41599999999999998</v>
      </c>
      <c r="S468">
        <v>30</v>
      </c>
      <c r="T468">
        <v>46</v>
      </c>
      <c r="U468">
        <v>0.65200000000000002</v>
      </c>
      <c r="V468">
        <v>48</v>
      </c>
      <c r="W468">
        <v>114</v>
      </c>
      <c r="X468">
        <v>162</v>
      </c>
      <c r="Y468">
        <v>30</v>
      </c>
      <c r="Z468">
        <v>19</v>
      </c>
      <c r="AA468">
        <v>9</v>
      </c>
      <c r="AB468">
        <v>44</v>
      </c>
      <c r="AC468">
        <v>88</v>
      </c>
      <c r="AD468">
        <v>213</v>
      </c>
    </row>
    <row r="469" spans="1:30" x14ac:dyDescent="0.3">
      <c r="A469">
        <v>362</v>
      </c>
      <c r="B469" t="s">
        <v>2356</v>
      </c>
      <c r="C469" t="s">
        <v>1956</v>
      </c>
      <c r="D469">
        <v>23</v>
      </c>
      <c r="E469" t="s">
        <v>1998</v>
      </c>
      <c r="F469">
        <v>3</v>
      </c>
      <c r="G469">
        <v>0</v>
      </c>
      <c r="H469">
        <v>19</v>
      </c>
      <c r="I469">
        <v>2</v>
      </c>
      <c r="J469">
        <v>7</v>
      </c>
      <c r="K469">
        <v>0.28599999999999998</v>
      </c>
      <c r="L469">
        <v>0</v>
      </c>
      <c r="M469">
        <v>1</v>
      </c>
      <c r="N469">
        <v>0</v>
      </c>
      <c r="O469">
        <v>2</v>
      </c>
      <c r="P469">
        <v>6</v>
      </c>
      <c r="Q469">
        <v>0.33300000000000002</v>
      </c>
      <c r="R469">
        <v>0.28599999999999998</v>
      </c>
      <c r="S469">
        <v>1</v>
      </c>
      <c r="T469">
        <v>2</v>
      </c>
      <c r="U469">
        <v>0.5</v>
      </c>
      <c r="V469">
        <v>1</v>
      </c>
      <c r="W469">
        <v>3</v>
      </c>
      <c r="X469">
        <v>4</v>
      </c>
      <c r="Y469">
        <v>0</v>
      </c>
      <c r="Z469">
        <v>1</v>
      </c>
      <c r="AA469">
        <v>0</v>
      </c>
      <c r="AB469">
        <v>0</v>
      </c>
      <c r="AC469">
        <v>4</v>
      </c>
      <c r="AD469">
        <v>5</v>
      </c>
    </row>
    <row r="470" spans="1:30" x14ac:dyDescent="0.3">
      <c r="A470">
        <v>362</v>
      </c>
      <c r="B470" t="s">
        <v>2356</v>
      </c>
      <c r="C470" t="s">
        <v>1956</v>
      </c>
      <c r="D470">
        <v>23</v>
      </c>
      <c r="E470" t="s">
        <v>1966</v>
      </c>
      <c r="F470">
        <v>29</v>
      </c>
      <c r="G470">
        <v>22</v>
      </c>
      <c r="H470">
        <v>720</v>
      </c>
      <c r="I470">
        <v>89</v>
      </c>
      <c r="J470">
        <v>213</v>
      </c>
      <c r="K470">
        <v>0.41799999999999998</v>
      </c>
      <c r="L470">
        <v>1</v>
      </c>
      <c r="M470">
        <v>8</v>
      </c>
      <c r="N470">
        <v>0.125</v>
      </c>
      <c r="O470">
        <v>88</v>
      </c>
      <c r="P470">
        <v>205</v>
      </c>
      <c r="Q470">
        <v>0.42899999999999999</v>
      </c>
      <c r="R470">
        <v>0.42</v>
      </c>
      <c r="S470">
        <v>29</v>
      </c>
      <c r="T470">
        <v>44</v>
      </c>
      <c r="U470">
        <v>0.65900000000000003</v>
      </c>
      <c r="V470">
        <v>47</v>
      </c>
      <c r="W470">
        <v>111</v>
      </c>
      <c r="X470">
        <v>158</v>
      </c>
      <c r="Y470">
        <v>30</v>
      </c>
      <c r="Z470">
        <v>18</v>
      </c>
      <c r="AA470">
        <v>9</v>
      </c>
      <c r="AB470">
        <v>44</v>
      </c>
      <c r="AC470">
        <v>84</v>
      </c>
      <c r="AD470">
        <v>208</v>
      </c>
    </row>
    <row r="471" spans="1:30" x14ac:dyDescent="0.3">
      <c r="A471">
        <v>363</v>
      </c>
      <c r="B471" t="s">
        <v>2357</v>
      </c>
      <c r="C471" t="s">
        <v>2004</v>
      </c>
      <c r="D471">
        <v>20</v>
      </c>
      <c r="E471" t="s">
        <v>2113</v>
      </c>
      <c r="F471">
        <v>82</v>
      </c>
      <c r="G471">
        <v>63</v>
      </c>
      <c r="H471">
        <v>2489</v>
      </c>
      <c r="I471">
        <v>301</v>
      </c>
      <c r="J471">
        <v>708</v>
      </c>
      <c r="K471">
        <v>0.42499999999999999</v>
      </c>
      <c r="L471">
        <v>11</v>
      </c>
      <c r="M471">
        <v>42</v>
      </c>
      <c r="N471">
        <v>0.26200000000000001</v>
      </c>
      <c r="O471">
        <v>290</v>
      </c>
      <c r="P471">
        <v>666</v>
      </c>
      <c r="Q471">
        <v>0.435</v>
      </c>
      <c r="R471">
        <v>0.433</v>
      </c>
      <c r="S471">
        <v>118</v>
      </c>
      <c r="T471">
        <v>214</v>
      </c>
      <c r="U471">
        <v>0.55100000000000005</v>
      </c>
      <c r="V471">
        <v>107</v>
      </c>
      <c r="W471">
        <v>242</v>
      </c>
      <c r="X471">
        <v>349</v>
      </c>
      <c r="Y471">
        <v>533</v>
      </c>
      <c r="Z471">
        <v>142</v>
      </c>
      <c r="AA471">
        <v>20</v>
      </c>
      <c r="AB471">
        <v>203</v>
      </c>
      <c r="AC471">
        <v>193</v>
      </c>
      <c r="AD471">
        <v>731</v>
      </c>
    </row>
    <row r="472" spans="1:30" x14ac:dyDescent="0.3">
      <c r="A472">
        <v>364</v>
      </c>
      <c r="B472" t="s">
        <v>2358</v>
      </c>
      <c r="C472" t="s">
        <v>213</v>
      </c>
      <c r="D472">
        <v>29</v>
      </c>
      <c r="E472" t="s">
        <v>1966</v>
      </c>
      <c r="F472">
        <v>31</v>
      </c>
      <c r="G472">
        <v>29</v>
      </c>
      <c r="H472">
        <v>815</v>
      </c>
      <c r="I472">
        <v>139</v>
      </c>
      <c r="J472">
        <v>328</v>
      </c>
      <c r="K472">
        <v>0.42399999999999999</v>
      </c>
      <c r="L472">
        <v>0</v>
      </c>
      <c r="M472">
        <v>0</v>
      </c>
      <c r="O472">
        <v>139</v>
      </c>
      <c r="P472">
        <v>328</v>
      </c>
      <c r="Q472">
        <v>0.42399999999999999</v>
      </c>
      <c r="R472">
        <v>0.42399999999999999</v>
      </c>
      <c r="S472">
        <v>108</v>
      </c>
      <c r="T472">
        <v>129</v>
      </c>
      <c r="U472">
        <v>0.83699999999999997</v>
      </c>
      <c r="V472">
        <v>89</v>
      </c>
      <c r="W472">
        <v>145</v>
      </c>
      <c r="X472">
        <v>234</v>
      </c>
      <c r="Y472">
        <v>27</v>
      </c>
      <c r="Z472">
        <v>19</v>
      </c>
      <c r="AA472">
        <v>12</v>
      </c>
      <c r="AB472">
        <v>42</v>
      </c>
      <c r="AC472">
        <v>59</v>
      </c>
      <c r="AD472">
        <v>386</v>
      </c>
    </row>
    <row r="473" spans="1:30" x14ac:dyDescent="0.3">
      <c r="A473">
        <v>365</v>
      </c>
      <c r="B473" t="s">
        <v>2359</v>
      </c>
      <c r="C473" t="s">
        <v>213</v>
      </c>
      <c r="D473">
        <v>30</v>
      </c>
      <c r="E473" t="s">
        <v>1968</v>
      </c>
      <c r="F473">
        <v>68</v>
      </c>
      <c r="G473">
        <v>3</v>
      </c>
      <c r="H473">
        <v>1148</v>
      </c>
      <c r="I473">
        <v>102</v>
      </c>
      <c r="J473">
        <v>227</v>
      </c>
      <c r="K473">
        <v>0.44900000000000001</v>
      </c>
      <c r="L473">
        <v>0</v>
      </c>
      <c r="M473">
        <v>1</v>
      </c>
      <c r="N473">
        <v>0</v>
      </c>
      <c r="O473">
        <v>102</v>
      </c>
      <c r="P473">
        <v>226</v>
      </c>
      <c r="Q473">
        <v>0.45100000000000001</v>
      </c>
      <c r="R473">
        <v>0.44900000000000001</v>
      </c>
      <c r="S473">
        <v>42</v>
      </c>
      <c r="T473">
        <v>83</v>
      </c>
      <c r="U473">
        <v>0.50600000000000001</v>
      </c>
      <c r="V473">
        <v>91</v>
      </c>
      <c r="W473">
        <v>229</v>
      </c>
      <c r="X473">
        <v>320</v>
      </c>
      <c r="Y473">
        <v>51</v>
      </c>
      <c r="Z473">
        <v>16</v>
      </c>
      <c r="AA473">
        <v>42</v>
      </c>
      <c r="AB473">
        <v>95</v>
      </c>
      <c r="AC473">
        <v>162</v>
      </c>
      <c r="AD473">
        <v>246</v>
      </c>
    </row>
    <row r="474" spans="1:30" x14ac:dyDescent="0.3">
      <c r="A474">
        <v>365</v>
      </c>
      <c r="B474" t="s">
        <v>2359</v>
      </c>
      <c r="C474" t="s">
        <v>213</v>
      </c>
      <c r="D474">
        <v>30</v>
      </c>
      <c r="E474" t="s">
        <v>1964</v>
      </c>
      <c r="F474">
        <v>51</v>
      </c>
      <c r="G474">
        <v>3</v>
      </c>
      <c r="H474">
        <v>981</v>
      </c>
      <c r="I474">
        <v>82</v>
      </c>
      <c r="J474">
        <v>186</v>
      </c>
      <c r="K474">
        <v>0.441</v>
      </c>
      <c r="L474">
        <v>0</v>
      </c>
      <c r="M474">
        <v>1</v>
      </c>
      <c r="N474">
        <v>0</v>
      </c>
      <c r="O474">
        <v>82</v>
      </c>
      <c r="P474">
        <v>185</v>
      </c>
      <c r="Q474">
        <v>0.443</v>
      </c>
      <c r="R474">
        <v>0.441</v>
      </c>
      <c r="S474">
        <v>38</v>
      </c>
      <c r="T474">
        <v>75</v>
      </c>
      <c r="U474">
        <v>0.50700000000000001</v>
      </c>
      <c r="V474">
        <v>80</v>
      </c>
      <c r="W474">
        <v>199</v>
      </c>
      <c r="X474">
        <v>279</v>
      </c>
      <c r="Y474">
        <v>43</v>
      </c>
      <c r="Z474">
        <v>14</v>
      </c>
      <c r="AA474">
        <v>38</v>
      </c>
      <c r="AB474">
        <v>74</v>
      </c>
      <c r="AC474">
        <v>135</v>
      </c>
      <c r="AD474">
        <v>202</v>
      </c>
    </row>
    <row r="475" spans="1:30" x14ac:dyDescent="0.3">
      <c r="A475">
        <v>365</v>
      </c>
      <c r="B475" t="s">
        <v>2359</v>
      </c>
      <c r="C475" t="s">
        <v>213</v>
      </c>
      <c r="D475">
        <v>30</v>
      </c>
      <c r="E475" t="s">
        <v>1984</v>
      </c>
      <c r="F475">
        <v>17</v>
      </c>
      <c r="G475">
        <v>0</v>
      </c>
      <c r="H475">
        <v>167</v>
      </c>
      <c r="I475">
        <v>20</v>
      </c>
      <c r="J475">
        <v>41</v>
      </c>
      <c r="K475">
        <v>0.48799999999999999</v>
      </c>
      <c r="L475">
        <v>0</v>
      </c>
      <c r="M475">
        <v>0</v>
      </c>
      <c r="O475">
        <v>20</v>
      </c>
      <c r="P475">
        <v>41</v>
      </c>
      <c r="Q475">
        <v>0.48799999999999999</v>
      </c>
      <c r="R475">
        <v>0.48799999999999999</v>
      </c>
      <c r="S475">
        <v>4</v>
      </c>
      <c r="T475">
        <v>8</v>
      </c>
      <c r="U475">
        <v>0.5</v>
      </c>
      <c r="V475">
        <v>11</v>
      </c>
      <c r="W475">
        <v>30</v>
      </c>
      <c r="X475">
        <v>41</v>
      </c>
      <c r="Y475">
        <v>8</v>
      </c>
      <c r="Z475">
        <v>2</v>
      </c>
      <c r="AA475">
        <v>4</v>
      </c>
      <c r="AB475">
        <v>21</v>
      </c>
      <c r="AC475">
        <v>27</v>
      </c>
      <c r="AD475">
        <v>44</v>
      </c>
    </row>
    <row r="476" spans="1:30" x14ac:dyDescent="0.3">
      <c r="A476">
        <v>366</v>
      </c>
      <c r="B476" t="s">
        <v>2360</v>
      </c>
      <c r="C476" t="s">
        <v>1981</v>
      </c>
      <c r="D476">
        <v>37</v>
      </c>
      <c r="E476" t="s">
        <v>2026</v>
      </c>
      <c r="F476">
        <v>73</v>
      </c>
      <c r="G476">
        <v>73</v>
      </c>
      <c r="H476">
        <v>1914</v>
      </c>
      <c r="I476">
        <v>293</v>
      </c>
      <c r="J476">
        <v>656</v>
      </c>
      <c r="K476">
        <v>0.44700000000000001</v>
      </c>
      <c r="L476">
        <v>118</v>
      </c>
      <c r="M476">
        <v>303</v>
      </c>
      <c r="N476">
        <v>0.38900000000000001</v>
      </c>
      <c r="O476">
        <v>175</v>
      </c>
      <c r="P476">
        <v>353</v>
      </c>
      <c r="Q476">
        <v>0.496</v>
      </c>
      <c r="R476">
        <v>0.53700000000000003</v>
      </c>
      <c r="S476">
        <v>164</v>
      </c>
      <c r="T476">
        <v>210</v>
      </c>
      <c r="U476">
        <v>0.78100000000000003</v>
      </c>
      <c r="V476">
        <v>45</v>
      </c>
      <c r="W476">
        <v>249</v>
      </c>
      <c r="X476">
        <v>294</v>
      </c>
      <c r="Y476">
        <v>144</v>
      </c>
      <c r="Z476">
        <v>46</v>
      </c>
      <c r="AA476">
        <v>24</v>
      </c>
      <c r="AB476">
        <v>92</v>
      </c>
      <c r="AC476">
        <v>160</v>
      </c>
      <c r="AD476">
        <v>868</v>
      </c>
    </row>
    <row r="477" spans="1:30" x14ac:dyDescent="0.3">
      <c r="A477">
        <v>367</v>
      </c>
      <c r="B477" t="s">
        <v>2361</v>
      </c>
      <c r="C477" t="s">
        <v>213</v>
      </c>
      <c r="D477">
        <v>24</v>
      </c>
      <c r="E477" t="s">
        <v>1988</v>
      </c>
      <c r="F477">
        <v>82</v>
      </c>
      <c r="G477">
        <v>45</v>
      </c>
      <c r="H477">
        <v>1743</v>
      </c>
      <c r="I477">
        <v>280</v>
      </c>
      <c r="J477">
        <v>489</v>
      </c>
      <c r="K477">
        <v>0.57299999999999995</v>
      </c>
      <c r="L477">
        <v>0</v>
      </c>
      <c r="M477">
        <v>3</v>
      </c>
      <c r="N477">
        <v>0</v>
      </c>
      <c r="O477">
        <v>280</v>
      </c>
      <c r="P477">
        <v>486</v>
      </c>
      <c r="Q477">
        <v>0.57599999999999996</v>
      </c>
      <c r="R477">
        <v>0.57299999999999995</v>
      </c>
      <c r="S477">
        <v>157</v>
      </c>
      <c r="T477">
        <v>317</v>
      </c>
      <c r="U477">
        <v>0.495</v>
      </c>
      <c r="V477">
        <v>175</v>
      </c>
      <c r="W477">
        <v>337</v>
      </c>
      <c r="X477">
        <v>512</v>
      </c>
      <c r="Y477">
        <v>74</v>
      </c>
      <c r="Z477">
        <v>65</v>
      </c>
      <c r="AA477">
        <v>63</v>
      </c>
      <c r="AB477">
        <v>106</v>
      </c>
      <c r="AC477">
        <v>207</v>
      </c>
      <c r="AD477">
        <v>717</v>
      </c>
    </row>
    <row r="478" spans="1:30" x14ac:dyDescent="0.3">
      <c r="A478">
        <v>368</v>
      </c>
      <c r="B478" t="s">
        <v>2362</v>
      </c>
      <c r="C478" t="s">
        <v>213</v>
      </c>
      <c r="D478">
        <v>26</v>
      </c>
      <c r="E478" t="s">
        <v>1968</v>
      </c>
      <c r="F478">
        <v>73</v>
      </c>
      <c r="G478">
        <v>28</v>
      </c>
      <c r="H478">
        <v>1194</v>
      </c>
      <c r="I478">
        <v>136</v>
      </c>
      <c r="J478">
        <v>254</v>
      </c>
      <c r="K478">
        <v>0.53500000000000003</v>
      </c>
      <c r="L478">
        <v>0</v>
      </c>
      <c r="M478">
        <v>0</v>
      </c>
      <c r="O478">
        <v>136</v>
      </c>
      <c r="P478">
        <v>254</v>
      </c>
      <c r="Q478">
        <v>0.53500000000000003</v>
      </c>
      <c r="R478">
        <v>0.53500000000000003</v>
      </c>
      <c r="S478">
        <v>22</v>
      </c>
      <c r="T478">
        <v>46</v>
      </c>
      <c r="U478">
        <v>0.47799999999999998</v>
      </c>
      <c r="V478">
        <v>112</v>
      </c>
      <c r="W478">
        <v>208</v>
      </c>
      <c r="X478">
        <v>320</v>
      </c>
      <c r="Y478">
        <v>34</v>
      </c>
      <c r="Z478">
        <v>41</v>
      </c>
      <c r="AA478">
        <v>66</v>
      </c>
      <c r="AB478">
        <v>51</v>
      </c>
      <c r="AC478">
        <v>111</v>
      </c>
      <c r="AD478">
        <v>294</v>
      </c>
    </row>
    <row r="479" spans="1:30" x14ac:dyDescent="0.3">
      <c r="A479">
        <v>368</v>
      </c>
      <c r="B479" t="s">
        <v>2362</v>
      </c>
      <c r="C479" t="s">
        <v>213</v>
      </c>
      <c r="D479">
        <v>26</v>
      </c>
      <c r="E479" t="s">
        <v>2017</v>
      </c>
      <c r="F479">
        <v>54</v>
      </c>
      <c r="G479">
        <v>28</v>
      </c>
      <c r="H479">
        <v>1005</v>
      </c>
      <c r="I479">
        <v>107</v>
      </c>
      <c r="J479">
        <v>195</v>
      </c>
      <c r="K479">
        <v>0.54900000000000004</v>
      </c>
      <c r="L479">
        <v>0</v>
      </c>
      <c r="M479">
        <v>0</v>
      </c>
      <c r="O479">
        <v>107</v>
      </c>
      <c r="P479">
        <v>195</v>
      </c>
      <c r="Q479">
        <v>0.54900000000000004</v>
      </c>
      <c r="R479">
        <v>0.54900000000000004</v>
      </c>
      <c r="S479">
        <v>19</v>
      </c>
      <c r="T479">
        <v>38</v>
      </c>
      <c r="U479">
        <v>0.5</v>
      </c>
      <c r="V479">
        <v>95</v>
      </c>
      <c r="W479">
        <v>179</v>
      </c>
      <c r="X479">
        <v>274</v>
      </c>
      <c r="Y479">
        <v>27</v>
      </c>
      <c r="Z479">
        <v>35</v>
      </c>
      <c r="AA479">
        <v>55</v>
      </c>
      <c r="AB479">
        <v>45</v>
      </c>
      <c r="AC479">
        <v>99</v>
      </c>
      <c r="AD479">
        <v>233</v>
      </c>
    </row>
    <row r="480" spans="1:30" x14ac:dyDescent="0.3">
      <c r="A480">
        <v>368</v>
      </c>
      <c r="B480" t="s">
        <v>2362</v>
      </c>
      <c r="C480" t="s">
        <v>213</v>
      </c>
      <c r="D480">
        <v>26</v>
      </c>
      <c r="E480" t="s">
        <v>1993</v>
      </c>
      <c r="F480">
        <v>19</v>
      </c>
      <c r="G480">
        <v>0</v>
      </c>
      <c r="H480">
        <v>189</v>
      </c>
      <c r="I480">
        <v>29</v>
      </c>
      <c r="J480">
        <v>59</v>
      </c>
      <c r="K480">
        <v>0.49199999999999999</v>
      </c>
      <c r="L480">
        <v>0</v>
      </c>
      <c r="M480">
        <v>0</v>
      </c>
      <c r="O480">
        <v>29</v>
      </c>
      <c r="P480">
        <v>59</v>
      </c>
      <c r="Q480">
        <v>0.49199999999999999</v>
      </c>
      <c r="R480">
        <v>0.49199999999999999</v>
      </c>
      <c r="S480">
        <v>3</v>
      </c>
      <c r="T480">
        <v>8</v>
      </c>
      <c r="U480">
        <v>0.375</v>
      </c>
      <c r="V480">
        <v>17</v>
      </c>
      <c r="W480">
        <v>29</v>
      </c>
      <c r="X480">
        <v>46</v>
      </c>
      <c r="Y480">
        <v>7</v>
      </c>
      <c r="Z480">
        <v>6</v>
      </c>
      <c r="AA480">
        <v>11</v>
      </c>
      <c r="AB480">
        <v>6</v>
      </c>
      <c r="AC480">
        <v>12</v>
      </c>
      <c r="AD480">
        <v>61</v>
      </c>
    </row>
    <row r="481" spans="1:30" x14ac:dyDescent="0.3">
      <c r="A481">
        <v>369</v>
      </c>
      <c r="B481" t="s">
        <v>2363</v>
      </c>
      <c r="C481" t="s">
        <v>2364</v>
      </c>
      <c r="D481">
        <v>26</v>
      </c>
      <c r="E481" t="s">
        <v>1968</v>
      </c>
      <c r="F481">
        <v>75</v>
      </c>
      <c r="G481">
        <v>30</v>
      </c>
      <c r="H481">
        <v>1793</v>
      </c>
      <c r="I481">
        <v>188</v>
      </c>
      <c r="J481">
        <v>447</v>
      </c>
      <c r="K481">
        <v>0.42099999999999999</v>
      </c>
      <c r="L481">
        <v>91</v>
      </c>
      <c r="M481">
        <v>244</v>
      </c>
      <c r="N481">
        <v>0.373</v>
      </c>
      <c r="O481">
        <v>97</v>
      </c>
      <c r="P481">
        <v>203</v>
      </c>
      <c r="Q481">
        <v>0.47799999999999998</v>
      </c>
      <c r="R481">
        <v>0.52200000000000002</v>
      </c>
      <c r="S481">
        <v>71</v>
      </c>
      <c r="T481">
        <v>96</v>
      </c>
      <c r="U481">
        <v>0.74</v>
      </c>
      <c r="V481">
        <v>53</v>
      </c>
      <c r="W481">
        <v>142</v>
      </c>
      <c r="X481">
        <v>195</v>
      </c>
      <c r="Y481">
        <v>94</v>
      </c>
      <c r="Z481">
        <v>19</v>
      </c>
      <c r="AA481">
        <v>24</v>
      </c>
      <c r="AB481">
        <v>51</v>
      </c>
      <c r="AC481">
        <v>150</v>
      </c>
      <c r="AD481">
        <v>538</v>
      </c>
    </row>
    <row r="482" spans="1:30" x14ac:dyDescent="0.3">
      <c r="A482">
        <v>369</v>
      </c>
      <c r="B482" t="s">
        <v>2363</v>
      </c>
      <c r="C482" t="s">
        <v>1961</v>
      </c>
      <c r="D482">
        <v>26</v>
      </c>
      <c r="E482" t="s">
        <v>1962</v>
      </c>
      <c r="F482">
        <v>30</v>
      </c>
      <c r="G482">
        <v>2</v>
      </c>
      <c r="H482">
        <v>540</v>
      </c>
      <c r="I482">
        <v>48</v>
      </c>
      <c r="J482">
        <v>135</v>
      </c>
      <c r="K482">
        <v>0.35599999999999998</v>
      </c>
      <c r="L482">
        <v>17</v>
      </c>
      <c r="M482">
        <v>73</v>
      </c>
      <c r="N482">
        <v>0.23300000000000001</v>
      </c>
      <c r="O482">
        <v>31</v>
      </c>
      <c r="P482">
        <v>62</v>
      </c>
      <c r="Q482">
        <v>0.5</v>
      </c>
      <c r="R482">
        <v>0.41899999999999998</v>
      </c>
      <c r="S482">
        <v>21</v>
      </c>
      <c r="T482">
        <v>30</v>
      </c>
      <c r="U482">
        <v>0.7</v>
      </c>
      <c r="V482">
        <v>20</v>
      </c>
      <c r="W482">
        <v>37</v>
      </c>
      <c r="X482">
        <v>57</v>
      </c>
      <c r="Y482">
        <v>28</v>
      </c>
      <c r="Z482">
        <v>5</v>
      </c>
      <c r="AA482">
        <v>5</v>
      </c>
      <c r="AB482">
        <v>10</v>
      </c>
      <c r="AC482">
        <v>47</v>
      </c>
      <c r="AD482">
        <v>134</v>
      </c>
    </row>
    <row r="483" spans="1:30" x14ac:dyDescent="0.3">
      <c r="A483">
        <v>369</v>
      </c>
      <c r="B483" t="s">
        <v>2363</v>
      </c>
      <c r="C483" t="s">
        <v>1981</v>
      </c>
      <c r="D483">
        <v>26</v>
      </c>
      <c r="E483" t="s">
        <v>1972</v>
      </c>
      <c r="F483">
        <v>45</v>
      </c>
      <c r="G483">
        <v>28</v>
      </c>
      <c r="H483">
        <v>1253</v>
      </c>
      <c r="I483">
        <v>140</v>
      </c>
      <c r="J483">
        <v>312</v>
      </c>
      <c r="K483">
        <v>0.44900000000000001</v>
      </c>
      <c r="L483">
        <v>74</v>
      </c>
      <c r="M483">
        <v>171</v>
      </c>
      <c r="N483">
        <v>0.433</v>
      </c>
      <c r="O483">
        <v>66</v>
      </c>
      <c r="P483">
        <v>141</v>
      </c>
      <c r="Q483">
        <v>0.46800000000000003</v>
      </c>
      <c r="R483">
        <v>0.56699999999999995</v>
      </c>
      <c r="S483">
        <v>50</v>
      </c>
      <c r="T483">
        <v>66</v>
      </c>
      <c r="U483">
        <v>0.75800000000000001</v>
      </c>
      <c r="V483">
        <v>33</v>
      </c>
      <c r="W483">
        <v>105</v>
      </c>
      <c r="X483">
        <v>138</v>
      </c>
      <c r="Y483">
        <v>66</v>
      </c>
      <c r="Z483">
        <v>14</v>
      </c>
      <c r="AA483">
        <v>19</v>
      </c>
      <c r="AB483">
        <v>41</v>
      </c>
      <c r="AC483">
        <v>103</v>
      </c>
      <c r="AD483">
        <v>404</v>
      </c>
    </row>
    <row r="484" spans="1:30" x14ac:dyDescent="0.3">
      <c r="A484">
        <v>370</v>
      </c>
      <c r="B484" t="s">
        <v>2365</v>
      </c>
      <c r="C484" t="s">
        <v>1981</v>
      </c>
      <c r="D484">
        <v>21</v>
      </c>
      <c r="E484" t="s">
        <v>2026</v>
      </c>
      <c r="F484">
        <v>74</v>
      </c>
      <c r="G484">
        <v>13</v>
      </c>
      <c r="H484">
        <v>1432</v>
      </c>
      <c r="I484">
        <v>176</v>
      </c>
      <c r="J484">
        <v>391</v>
      </c>
      <c r="K484">
        <v>0.45</v>
      </c>
      <c r="L484">
        <v>35</v>
      </c>
      <c r="M484">
        <v>104</v>
      </c>
      <c r="N484">
        <v>0.33700000000000002</v>
      </c>
      <c r="O484">
        <v>141</v>
      </c>
      <c r="P484">
        <v>287</v>
      </c>
      <c r="Q484">
        <v>0.49099999999999999</v>
      </c>
      <c r="R484">
        <v>0.495</v>
      </c>
      <c r="S484">
        <v>58</v>
      </c>
      <c r="T484">
        <v>79</v>
      </c>
      <c r="U484">
        <v>0.73399999999999999</v>
      </c>
      <c r="V484">
        <v>70</v>
      </c>
      <c r="W484">
        <v>151</v>
      </c>
      <c r="X484">
        <v>221</v>
      </c>
      <c r="Y484">
        <v>65</v>
      </c>
      <c r="Z484">
        <v>44</v>
      </c>
      <c r="AA484">
        <v>30</v>
      </c>
      <c r="AB484">
        <v>52</v>
      </c>
      <c r="AC484">
        <v>97</v>
      </c>
      <c r="AD484">
        <v>445</v>
      </c>
    </row>
    <row r="485" spans="1:30" x14ac:dyDescent="0.3">
      <c r="A485">
        <v>371</v>
      </c>
      <c r="B485" t="s">
        <v>2366</v>
      </c>
      <c r="C485" t="s">
        <v>1956</v>
      </c>
      <c r="D485">
        <v>23</v>
      </c>
      <c r="E485" t="s">
        <v>1968</v>
      </c>
      <c r="F485">
        <v>29</v>
      </c>
      <c r="G485">
        <v>0</v>
      </c>
      <c r="H485">
        <v>236</v>
      </c>
      <c r="I485">
        <v>31</v>
      </c>
      <c r="J485">
        <v>67</v>
      </c>
      <c r="K485">
        <v>0.46300000000000002</v>
      </c>
      <c r="L485">
        <v>3</v>
      </c>
      <c r="M485">
        <v>11</v>
      </c>
      <c r="N485">
        <v>0.27300000000000002</v>
      </c>
      <c r="O485">
        <v>28</v>
      </c>
      <c r="P485">
        <v>56</v>
      </c>
      <c r="Q485">
        <v>0.5</v>
      </c>
      <c r="R485">
        <v>0.48499999999999999</v>
      </c>
      <c r="S485">
        <v>25</v>
      </c>
      <c r="T485">
        <v>33</v>
      </c>
      <c r="U485">
        <v>0.75800000000000001</v>
      </c>
      <c r="V485">
        <v>18</v>
      </c>
      <c r="W485">
        <v>32</v>
      </c>
      <c r="X485">
        <v>50</v>
      </c>
      <c r="Y485">
        <v>9</v>
      </c>
      <c r="Z485">
        <v>9</v>
      </c>
      <c r="AA485">
        <v>6</v>
      </c>
      <c r="AB485">
        <v>11</v>
      </c>
      <c r="AC485">
        <v>40</v>
      </c>
      <c r="AD485">
        <v>90</v>
      </c>
    </row>
    <row r="486" spans="1:30" x14ac:dyDescent="0.3">
      <c r="A486">
        <v>371</v>
      </c>
      <c r="B486" t="s">
        <v>2366</v>
      </c>
      <c r="C486" t="s">
        <v>1956</v>
      </c>
      <c r="D486">
        <v>23</v>
      </c>
      <c r="E486" t="s">
        <v>2020</v>
      </c>
      <c r="F486">
        <v>5</v>
      </c>
      <c r="G486">
        <v>0</v>
      </c>
      <c r="H486">
        <v>9</v>
      </c>
      <c r="I486">
        <v>4</v>
      </c>
      <c r="J486">
        <v>5</v>
      </c>
      <c r="K486">
        <v>0.8</v>
      </c>
      <c r="L486">
        <v>0</v>
      </c>
      <c r="M486">
        <v>0</v>
      </c>
      <c r="O486">
        <v>4</v>
      </c>
      <c r="P486">
        <v>5</v>
      </c>
      <c r="Q486">
        <v>0.8</v>
      </c>
      <c r="R486">
        <v>0.8</v>
      </c>
      <c r="S486">
        <v>1</v>
      </c>
      <c r="T486">
        <v>2</v>
      </c>
      <c r="U486">
        <v>0.5</v>
      </c>
      <c r="V486">
        <v>0</v>
      </c>
      <c r="W486">
        <v>1</v>
      </c>
      <c r="X486">
        <v>1</v>
      </c>
      <c r="Y486">
        <v>0</v>
      </c>
      <c r="Z486">
        <v>2</v>
      </c>
      <c r="AA486">
        <v>0</v>
      </c>
      <c r="AB486">
        <v>2</v>
      </c>
      <c r="AC486">
        <v>1</v>
      </c>
      <c r="AD486">
        <v>9</v>
      </c>
    </row>
    <row r="487" spans="1:30" x14ac:dyDescent="0.3">
      <c r="A487">
        <v>371</v>
      </c>
      <c r="B487" t="s">
        <v>2366</v>
      </c>
      <c r="C487" t="s">
        <v>1956</v>
      </c>
      <c r="D487">
        <v>23</v>
      </c>
      <c r="E487" t="s">
        <v>1982</v>
      </c>
      <c r="F487">
        <v>24</v>
      </c>
      <c r="G487">
        <v>0</v>
      </c>
      <c r="H487">
        <v>227</v>
      </c>
      <c r="I487">
        <v>27</v>
      </c>
      <c r="J487">
        <v>62</v>
      </c>
      <c r="K487">
        <v>0.435</v>
      </c>
      <c r="L487">
        <v>3</v>
      </c>
      <c r="M487">
        <v>11</v>
      </c>
      <c r="N487">
        <v>0.27300000000000002</v>
      </c>
      <c r="O487">
        <v>24</v>
      </c>
      <c r="P487">
        <v>51</v>
      </c>
      <c r="Q487">
        <v>0.47099999999999997</v>
      </c>
      <c r="R487">
        <v>0.46</v>
      </c>
      <c r="S487">
        <v>24</v>
      </c>
      <c r="T487">
        <v>31</v>
      </c>
      <c r="U487">
        <v>0.77400000000000002</v>
      </c>
      <c r="V487">
        <v>18</v>
      </c>
      <c r="W487">
        <v>31</v>
      </c>
      <c r="X487">
        <v>49</v>
      </c>
      <c r="Y487">
        <v>9</v>
      </c>
      <c r="Z487">
        <v>7</v>
      </c>
      <c r="AA487">
        <v>6</v>
      </c>
      <c r="AB487">
        <v>9</v>
      </c>
      <c r="AC487">
        <v>39</v>
      </c>
      <c r="AD487">
        <v>81</v>
      </c>
    </row>
    <row r="488" spans="1:30" x14ac:dyDescent="0.3">
      <c r="A488">
        <v>372</v>
      </c>
      <c r="B488" t="s">
        <v>2367</v>
      </c>
      <c r="C488" t="s">
        <v>2004</v>
      </c>
      <c r="D488">
        <v>23</v>
      </c>
      <c r="E488" t="s">
        <v>2020</v>
      </c>
      <c r="F488">
        <v>50</v>
      </c>
      <c r="G488">
        <v>0</v>
      </c>
      <c r="H488">
        <v>600</v>
      </c>
      <c r="I488">
        <v>64</v>
      </c>
      <c r="J488">
        <v>174</v>
      </c>
      <c r="K488">
        <v>0.36799999999999999</v>
      </c>
      <c r="L488">
        <v>16</v>
      </c>
      <c r="M488">
        <v>65</v>
      </c>
      <c r="N488">
        <v>0.246</v>
      </c>
      <c r="O488">
        <v>48</v>
      </c>
      <c r="P488">
        <v>109</v>
      </c>
      <c r="Q488">
        <v>0.44</v>
      </c>
      <c r="R488">
        <v>0.41399999999999998</v>
      </c>
      <c r="S488">
        <v>33</v>
      </c>
      <c r="T488">
        <v>49</v>
      </c>
      <c r="U488">
        <v>0.67300000000000004</v>
      </c>
      <c r="V488">
        <v>13</v>
      </c>
      <c r="W488">
        <v>67</v>
      </c>
      <c r="X488">
        <v>80</v>
      </c>
      <c r="Y488">
        <v>117</v>
      </c>
      <c r="Z488">
        <v>30</v>
      </c>
      <c r="AA488">
        <v>6</v>
      </c>
      <c r="AB488">
        <v>41</v>
      </c>
      <c r="AC488">
        <v>54</v>
      </c>
      <c r="AD488">
        <v>177</v>
      </c>
    </row>
    <row r="489" spans="1:30" x14ac:dyDescent="0.3">
      <c r="A489">
        <v>373</v>
      </c>
      <c r="B489" t="s">
        <v>2368</v>
      </c>
      <c r="C489" t="s">
        <v>2004</v>
      </c>
      <c r="D489">
        <v>28</v>
      </c>
      <c r="E489" t="s">
        <v>1968</v>
      </c>
      <c r="F489">
        <v>26</v>
      </c>
      <c r="G489">
        <v>0</v>
      </c>
      <c r="H489">
        <v>324</v>
      </c>
      <c r="I489">
        <v>51</v>
      </c>
      <c r="J489">
        <v>137</v>
      </c>
      <c r="K489">
        <v>0.372</v>
      </c>
      <c r="L489">
        <v>15</v>
      </c>
      <c r="M489">
        <v>57</v>
      </c>
      <c r="N489">
        <v>0.26300000000000001</v>
      </c>
      <c r="O489">
        <v>36</v>
      </c>
      <c r="P489">
        <v>80</v>
      </c>
      <c r="Q489">
        <v>0.45</v>
      </c>
      <c r="R489">
        <v>0.42699999999999999</v>
      </c>
      <c r="S489">
        <v>16</v>
      </c>
      <c r="T489">
        <v>24</v>
      </c>
      <c r="U489">
        <v>0.66700000000000004</v>
      </c>
      <c r="V489">
        <v>6</v>
      </c>
      <c r="W489">
        <v>26</v>
      </c>
      <c r="X489">
        <v>32</v>
      </c>
      <c r="Y489">
        <v>46</v>
      </c>
      <c r="Z489">
        <v>7</v>
      </c>
      <c r="AA489">
        <v>0</v>
      </c>
      <c r="AB489">
        <v>14</v>
      </c>
      <c r="AC489">
        <v>15</v>
      </c>
      <c r="AD489">
        <v>133</v>
      </c>
    </row>
    <row r="490" spans="1:30" x14ac:dyDescent="0.3">
      <c r="A490">
        <v>373</v>
      </c>
      <c r="B490" t="s">
        <v>2368</v>
      </c>
      <c r="C490" t="s">
        <v>2004</v>
      </c>
      <c r="D490">
        <v>28</v>
      </c>
      <c r="E490" t="s">
        <v>1978</v>
      </c>
      <c r="F490">
        <v>10</v>
      </c>
      <c r="G490">
        <v>0</v>
      </c>
      <c r="H490">
        <v>193</v>
      </c>
      <c r="I490">
        <v>39</v>
      </c>
      <c r="J490">
        <v>89</v>
      </c>
      <c r="K490">
        <v>0.438</v>
      </c>
      <c r="L490">
        <v>15</v>
      </c>
      <c r="M490">
        <v>39</v>
      </c>
      <c r="N490">
        <v>0.38500000000000001</v>
      </c>
      <c r="O490">
        <v>24</v>
      </c>
      <c r="P490">
        <v>50</v>
      </c>
      <c r="Q490">
        <v>0.48</v>
      </c>
      <c r="R490">
        <v>0.52200000000000002</v>
      </c>
      <c r="S490">
        <v>12</v>
      </c>
      <c r="T490">
        <v>18</v>
      </c>
      <c r="U490">
        <v>0.66700000000000004</v>
      </c>
      <c r="V490">
        <v>2</v>
      </c>
      <c r="W490">
        <v>12</v>
      </c>
      <c r="X490">
        <v>14</v>
      </c>
      <c r="Y490">
        <v>27</v>
      </c>
      <c r="Z490">
        <v>4</v>
      </c>
      <c r="AA490">
        <v>0</v>
      </c>
      <c r="AB490">
        <v>10</v>
      </c>
      <c r="AC490">
        <v>9</v>
      </c>
      <c r="AD490">
        <v>105</v>
      </c>
    </row>
    <row r="491" spans="1:30" x14ac:dyDescent="0.3">
      <c r="A491">
        <v>373</v>
      </c>
      <c r="B491" t="s">
        <v>2368</v>
      </c>
      <c r="C491" t="s">
        <v>2004</v>
      </c>
      <c r="D491">
        <v>28</v>
      </c>
      <c r="E491" t="s">
        <v>1984</v>
      </c>
      <c r="F491">
        <v>11</v>
      </c>
      <c r="G491">
        <v>0</v>
      </c>
      <c r="H491">
        <v>87</v>
      </c>
      <c r="I491">
        <v>9</v>
      </c>
      <c r="J491">
        <v>34</v>
      </c>
      <c r="K491">
        <v>0.26500000000000001</v>
      </c>
      <c r="L491">
        <v>0</v>
      </c>
      <c r="M491">
        <v>11</v>
      </c>
      <c r="N491">
        <v>0</v>
      </c>
      <c r="O491">
        <v>9</v>
      </c>
      <c r="P491">
        <v>23</v>
      </c>
      <c r="Q491">
        <v>0.39100000000000001</v>
      </c>
      <c r="R491">
        <v>0.26500000000000001</v>
      </c>
      <c r="S491">
        <v>4</v>
      </c>
      <c r="T491">
        <v>6</v>
      </c>
      <c r="U491">
        <v>0.66700000000000004</v>
      </c>
      <c r="V491">
        <v>4</v>
      </c>
      <c r="W491">
        <v>11</v>
      </c>
      <c r="X491">
        <v>15</v>
      </c>
      <c r="Y491">
        <v>13</v>
      </c>
      <c r="Z491">
        <v>3</v>
      </c>
      <c r="AA491">
        <v>0</v>
      </c>
      <c r="AB491">
        <v>3</v>
      </c>
      <c r="AC491">
        <v>1</v>
      </c>
      <c r="AD491">
        <v>22</v>
      </c>
    </row>
    <row r="492" spans="1:30" x14ac:dyDescent="0.3">
      <c r="A492">
        <v>373</v>
      </c>
      <c r="B492" t="s">
        <v>2368</v>
      </c>
      <c r="C492" t="s">
        <v>2004</v>
      </c>
      <c r="D492">
        <v>28</v>
      </c>
      <c r="E492" t="s">
        <v>2017</v>
      </c>
      <c r="F492">
        <v>5</v>
      </c>
      <c r="G492">
        <v>0</v>
      </c>
      <c r="H492">
        <v>44</v>
      </c>
      <c r="I492">
        <v>3</v>
      </c>
      <c r="J492">
        <v>14</v>
      </c>
      <c r="K492">
        <v>0.214</v>
      </c>
      <c r="L492">
        <v>0</v>
      </c>
      <c r="M492">
        <v>7</v>
      </c>
      <c r="N492">
        <v>0</v>
      </c>
      <c r="O492">
        <v>3</v>
      </c>
      <c r="P492">
        <v>7</v>
      </c>
      <c r="Q492">
        <v>0.42899999999999999</v>
      </c>
      <c r="R492">
        <v>0.214</v>
      </c>
      <c r="S492">
        <v>0</v>
      </c>
      <c r="T492">
        <v>0</v>
      </c>
      <c r="V492">
        <v>0</v>
      </c>
      <c r="W492">
        <v>3</v>
      </c>
      <c r="X492">
        <v>3</v>
      </c>
      <c r="Y492">
        <v>6</v>
      </c>
      <c r="Z492">
        <v>0</v>
      </c>
      <c r="AA492">
        <v>0</v>
      </c>
      <c r="AB492">
        <v>1</v>
      </c>
      <c r="AC492">
        <v>5</v>
      </c>
      <c r="AD492">
        <v>6</v>
      </c>
    </row>
    <row r="493" spans="1:30" x14ac:dyDescent="0.3">
      <c r="A493">
        <v>374</v>
      </c>
      <c r="B493" t="s">
        <v>2369</v>
      </c>
      <c r="C493" t="s">
        <v>2004</v>
      </c>
      <c r="D493">
        <v>31</v>
      </c>
      <c r="E493" t="s">
        <v>2038</v>
      </c>
      <c r="F493">
        <v>43</v>
      </c>
      <c r="G493">
        <v>20</v>
      </c>
      <c r="H493">
        <v>982</v>
      </c>
      <c r="I493">
        <v>77</v>
      </c>
      <c r="J493">
        <v>223</v>
      </c>
      <c r="K493">
        <v>0.34499999999999997</v>
      </c>
      <c r="L493">
        <v>31</v>
      </c>
      <c r="M493">
        <v>109</v>
      </c>
      <c r="N493">
        <v>0.28399999999999997</v>
      </c>
      <c r="O493">
        <v>46</v>
      </c>
      <c r="P493">
        <v>114</v>
      </c>
      <c r="Q493">
        <v>0.40400000000000003</v>
      </c>
      <c r="R493">
        <v>0.41499999999999998</v>
      </c>
      <c r="S493">
        <v>36</v>
      </c>
      <c r="T493">
        <v>45</v>
      </c>
      <c r="U493">
        <v>0.8</v>
      </c>
      <c r="V493">
        <v>19</v>
      </c>
      <c r="W493">
        <v>50</v>
      </c>
      <c r="X493">
        <v>69</v>
      </c>
      <c r="Y493">
        <v>165</v>
      </c>
      <c r="Z493">
        <v>67</v>
      </c>
      <c r="AA493">
        <v>4</v>
      </c>
      <c r="AB493">
        <v>52</v>
      </c>
      <c r="AC493">
        <v>118</v>
      </c>
      <c r="AD493">
        <v>221</v>
      </c>
    </row>
    <row r="494" spans="1:30" x14ac:dyDescent="0.3">
      <c r="A494">
        <v>375</v>
      </c>
      <c r="B494" t="s">
        <v>2370</v>
      </c>
      <c r="C494" t="s">
        <v>2004</v>
      </c>
      <c r="D494">
        <v>37</v>
      </c>
      <c r="E494" t="s">
        <v>1968</v>
      </c>
      <c r="F494">
        <v>67</v>
      </c>
      <c r="G494">
        <v>3</v>
      </c>
      <c r="H494">
        <v>1197</v>
      </c>
      <c r="I494">
        <v>91</v>
      </c>
      <c r="J494">
        <v>228</v>
      </c>
      <c r="K494">
        <v>0.39900000000000002</v>
      </c>
      <c r="L494">
        <v>57</v>
      </c>
      <c r="M494">
        <v>166</v>
      </c>
      <c r="N494">
        <v>0.34300000000000003</v>
      </c>
      <c r="O494">
        <v>34</v>
      </c>
      <c r="P494">
        <v>62</v>
      </c>
      <c r="Q494">
        <v>0.54800000000000004</v>
      </c>
      <c r="R494">
        <v>0.52400000000000002</v>
      </c>
      <c r="S494">
        <v>35</v>
      </c>
      <c r="T494">
        <v>41</v>
      </c>
      <c r="U494">
        <v>0.85399999999999998</v>
      </c>
      <c r="V494">
        <v>30</v>
      </c>
      <c r="W494">
        <v>89</v>
      </c>
      <c r="X494">
        <v>119</v>
      </c>
      <c r="Y494">
        <v>171</v>
      </c>
      <c r="Z494">
        <v>79</v>
      </c>
      <c r="AA494">
        <v>1</v>
      </c>
      <c r="AB494">
        <v>62</v>
      </c>
      <c r="AC494">
        <v>88</v>
      </c>
      <c r="AD494">
        <v>274</v>
      </c>
    </row>
    <row r="495" spans="1:30" x14ac:dyDescent="0.3">
      <c r="A495">
        <v>375</v>
      </c>
      <c r="B495" t="s">
        <v>2370</v>
      </c>
      <c r="C495" t="s">
        <v>2004</v>
      </c>
      <c r="D495">
        <v>37</v>
      </c>
      <c r="E495" t="s">
        <v>1959</v>
      </c>
      <c r="F495">
        <v>43</v>
      </c>
      <c r="G495">
        <v>3</v>
      </c>
      <c r="H495">
        <v>795</v>
      </c>
      <c r="I495">
        <v>68</v>
      </c>
      <c r="J495">
        <v>161</v>
      </c>
      <c r="K495">
        <v>0.42199999999999999</v>
      </c>
      <c r="L495">
        <v>43</v>
      </c>
      <c r="M495">
        <v>115</v>
      </c>
      <c r="N495">
        <v>0.374</v>
      </c>
      <c r="O495">
        <v>25</v>
      </c>
      <c r="P495">
        <v>46</v>
      </c>
      <c r="Q495">
        <v>0.54300000000000004</v>
      </c>
      <c r="R495">
        <v>0.55600000000000005</v>
      </c>
      <c r="S495">
        <v>22</v>
      </c>
      <c r="T495">
        <v>26</v>
      </c>
      <c r="U495">
        <v>0.84599999999999997</v>
      </c>
      <c r="V495">
        <v>18</v>
      </c>
      <c r="W495">
        <v>62</v>
      </c>
      <c r="X495">
        <v>80</v>
      </c>
      <c r="Y495">
        <v>104</v>
      </c>
      <c r="Z495">
        <v>52</v>
      </c>
      <c r="AA495">
        <v>1</v>
      </c>
      <c r="AB495">
        <v>47</v>
      </c>
      <c r="AC495">
        <v>53</v>
      </c>
      <c r="AD495">
        <v>201</v>
      </c>
    </row>
    <row r="496" spans="1:30" x14ac:dyDescent="0.3">
      <c r="A496">
        <v>375</v>
      </c>
      <c r="B496" t="s">
        <v>2370</v>
      </c>
      <c r="C496" t="s">
        <v>2004</v>
      </c>
      <c r="D496">
        <v>37</v>
      </c>
      <c r="E496" t="s">
        <v>2000</v>
      </c>
      <c r="F496">
        <v>24</v>
      </c>
      <c r="G496">
        <v>0</v>
      </c>
      <c r="H496">
        <v>402</v>
      </c>
      <c r="I496">
        <v>23</v>
      </c>
      <c r="J496">
        <v>67</v>
      </c>
      <c r="K496">
        <v>0.34300000000000003</v>
      </c>
      <c r="L496">
        <v>14</v>
      </c>
      <c r="M496">
        <v>51</v>
      </c>
      <c r="N496">
        <v>0.27500000000000002</v>
      </c>
      <c r="O496">
        <v>9</v>
      </c>
      <c r="P496">
        <v>16</v>
      </c>
      <c r="Q496">
        <v>0.56299999999999994</v>
      </c>
      <c r="R496">
        <v>0.44800000000000001</v>
      </c>
      <c r="S496">
        <v>13</v>
      </c>
      <c r="T496">
        <v>15</v>
      </c>
      <c r="U496">
        <v>0.86699999999999999</v>
      </c>
      <c r="V496">
        <v>12</v>
      </c>
      <c r="W496">
        <v>27</v>
      </c>
      <c r="X496">
        <v>39</v>
      </c>
      <c r="Y496">
        <v>67</v>
      </c>
      <c r="Z496">
        <v>27</v>
      </c>
      <c r="AA496">
        <v>0</v>
      </c>
      <c r="AB496">
        <v>15</v>
      </c>
      <c r="AC496">
        <v>35</v>
      </c>
      <c r="AD496">
        <v>73</v>
      </c>
    </row>
    <row r="497" spans="1:30" x14ac:dyDescent="0.3">
      <c r="A497">
        <v>376</v>
      </c>
      <c r="B497" t="s">
        <v>2371</v>
      </c>
      <c r="C497" t="s">
        <v>1981</v>
      </c>
      <c r="D497">
        <v>34</v>
      </c>
      <c r="E497" t="s">
        <v>1968</v>
      </c>
      <c r="F497">
        <v>58</v>
      </c>
      <c r="G497">
        <v>16</v>
      </c>
      <c r="H497">
        <v>1397</v>
      </c>
      <c r="I497">
        <v>177</v>
      </c>
      <c r="J497">
        <v>402</v>
      </c>
      <c r="K497">
        <v>0.44</v>
      </c>
      <c r="L497">
        <v>31</v>
      </c>
      <c r="M497">
        <v>67</v>
      </c>
      <c r="N497">
        <v>0.46300000000000002</v>
      </c>
      <c r="O497">
        <v>146</v>
      </c>
      <c r="P497">
        <v>335</v>
      </c>
      <c r="Q497">
        <v>0.436</v>
      </c>
      <c r="R497">
        <v>0.47899999999999998</v>
      </c>
      <c r="S497">
        <v>49</v>
      </c>
      <c r="T497">
        <v>65</v>
      </c>
      <c r="U497">
        <v>0.754</v>
      </c>
      <c r="V497">
        <v>52</v>
      </c>
      <c r="W497">
        <v>158</v>
      </c>
      <c r="X497">
        <v>210</v>
      </c>
      <c r="Y497">
        <v>93</v>
      </c>
      <c r="Z497">
        <v>29</v>
      </c>
      <c r="AA497">
        <v>16</v>
      </c>
      <c r="AB497">
        <v>35</v>
      </c>
      <c r="AC497">
        <v>55</v>
      </c>
      <c r="AD497">
        <v>434</v>
      </c>
    </row>
    <row r="498" spans="1:30" x14ac:dyDescent="0.3">
      <c r="A498">
        <v>376</v>
      </c>
      <c r="B498" t="s">
        <v>2371</v>
      </c>
      <c r="C498" t="s">
        <v>1981</v>
      </c>
      <c r="D498">
        <v>34</v>
      </c>
      <c r="E498" t="s">
        <v>1962</v>
      </c>
      <c r="F498">
        <v>26</v>
      </c>
      <c r="G498">
        <v>9</v>
      </c>
      <c r="H498">
        <v>628</v>
      </c>
      <c r="I498">
        <v>75</v>
      </c>
      <c r="J498">
        <v>183</v>
      </c>
      <c r="K498">
        <v>0.41</v>
      </c>
      <c r="L498">
        <v>15</v>
      </c>
      <c r="M498">
        <v>33</v>
      </c>
      <c r="N498">
        <v>0.45500000000000002</v>
      </c>
      <c r="O498">
        <v>60</v>
      </c>
      <c r="P498">
        <v>150</v>
      </c>
      <c r="Q498">
        <v>0.4</v>
      </c>
      <c r="R498">
        <v>0.45100000000000001</v>
      </c>
      <c r="S498">
        <v>25</v>
      </c>
      <c r="T498">
        <v>30</v>
      </c>
      <c r="U498">
        <v>0.83299999999999996</v>
      </c>
      <c r="V498">
        <v>21</v>
      </c>
      <c r="W498">
        <v>62</v>
      </c>
      <c r="X498">
        <v>83</v>
      </c>
      <c r="Y498">
        <v>37</v>
      </c>
      <c r="Z498">
        <v>9</v>
      </c>
      <c r="AA498">
        <v>6</v>
      </c>
      <c r="AB498">
        <v>15</v>
      </c>
      <c r="AC498">
        <v>22</v>
      </c>
      <c r="AD498">
        <v>190</v>
      </c>
    </row>
    <row r="499" spans="1:30" x14ac:dyDescent="0.3">
      <c r="A499">
        <v>376</v>
      </c>
      <c r="B499" t="s">
        <v>2371</v>
      </c>
      <c r="C499" t="s">
        <v>1981</v>
      </c>
      <c r="D499">
        <v>34</v>
      </c>
      <c r="E499" t="s">
        <v>2020</v>
      </c>
      <c r="F499">
        <v>9</v>
      </c>
      <c r="G499">
        <v>0</v>
      </c>
      <c r="H499">
        <v>198</v>
      </c>
      <c r="I499">
        <v>33</v>
      </c>
      <c r="J499">
        <v>59</v>
      </c>
      <c r="K499">
        <v>0.55900000000000005</v>
      </c>
      <c r="L499">
        <v>5</v>
      </c>
      <c r="M499">
        <v>8</v>
      </c>
      <c r="N499">
        <v>0.625</v>
      </c>
      <c r="O499">
        <v>28</v>
      </c>
      <c r="P499">
        <v>51</v>
      </c>
      <c r="Q499">
        <v>0.54900000000000004</v>
      </c>
      <c r="R499">
        <v>0.60199999999999998</v>
      </c>
      <c r="S499">
        <v>5</v>
      </c>
      <c r="T499">
        <v>6</v>
      </c>
      <c r="U499">
        <v>0.83299999999999996</v>
      </c>
      <c r="V499">
        <v>6</v>
      </c>
      <c r="W499">
        <v>24</v>
      </c>
      <c r="X499">
        <v>30</v>
      </c>
      <c r="Y499">
        <v>18</v>
      </c>
      <c r="Z499">
        <v>5</v>
      </c>
      <c r="AA499">
        <v>2</v>
      </c>
      <c r="AB499">
        <v>4</v>
      </c>
      <c r="AC499">
        <v>7</v>
      </c>
      <c r="AD499">
        <v>76</v>
      </c>
    </row>
    <row r="500" spans="1:30" x14ac:dyDescent="0.3">
      <c r="A500">
        <v>376</v>
      </c>
      <c r="B500" t="s">
        <v>2371</v>
      </c>
      <c r="C500" t="s">
        <v>1981</v>
      </c>
      <c r="D500">
        <v>34</v>
      </c>
      <c r="E500" t="s">
        <v>1996</v>
      </c>
      <c r="F500">
        <v>23</v>
      </c>
      <c r="G500">
        <v>7</v>
      </c>
      <c r="H500">
        <v>571</v>
      </c>
      <c r="I500">
        <v>69</v>
      </c>
      <c r="J500">
        <v>160</v>
      </c>
      <c r="K500">
        <v>0.43099999999999999</v>
      </c>
      <c r="L500">
        <v>11</v>
      </c>
      <c r="M500">
        <v>26</v>
      </c>
      <c r="N500">
        <v>0.42299999999999999</v>
      </c>
      <c r="O500">
        <v>58</v>
      </c>
      <c r="P500">
        <v>134</v>
      </c>
      <c r="Q500">
        <v>0.433</v>
      </c>
      <c r="R500">
        <v>0.46600000000000003</v>
      </c>
      <c r="S500">
        <v>19</v>
      </c>
      <c r="T500">
        <v>29</v>
      </c>
      <c r="U500">
        <v>0.65500000000000003</v>
      </c>
      <c r="V500">
        <v>25</v>
      </c>
      <c r="W500">
        <v>72</v>
      </c>
      <c r="X500">
        <v>97</v>
      </c>
      <c r="Y500">
        <v>38</v>
      </c>
      <c r="Z500">
        <v>15</v>
      </c>
      <c r="AA500">
        <v>8</v>
      </c>
      <c r="AB500">
        <v>16</v>
      </c>
      <c r="AC500">
        <v>26</v>
      </c>
      <c r="AD500">
        <v>168</v>
      </c>
    </row>
    <row r="501" spans="1:30" x14ac:dyDescent="0.3">
      <c r="A501">
        <v>377</v>
      </c>
      <c r="B501" t="s">
        <v>2372</v>
      </c>
      <c r="C501" t="s">
        <v>213</v>
      </c>
      <c r="D501">
        <v>27</v>
      </c>
      <c r="E501" t="s">
        <v>1966</v>
      </c>
      <c r="F501">
        <v>5</v>
      </c>
      <c r="G501">
        <v>0</v>
      </c>
      <c r="H501">
        <v>23</v>
      </c>
      <c r="I501">
        <v>3</v>
      </c>
      <c r="J501">
        <v>8</v>
      </c>
      <c r="K501">
        <v>0.375</v>
      </c>
      <c r="L501">
        <v>0</v>
      </c>
      <c r="M501">
        <v>0</v>
      </c>
      <c r="O501">
        <v>3</v>
      </c>
      <c r="P501">
        <v>8</v>
      </c>
      <c r="Q501">
        <v>0.375</v>
      </c>
      <c r="R501">
        <v>0.375</v>
      </c>
      <c r="S501">
        <v>2</v>
      </c>
      <c r="T501">
        <v>2</v>
      </c>
      <c r="U501">
        <v>1</v>
      </c>
      <c r="V501">
        <v>2</v>
      </c>
      <c r="W501">
        <v>3</v>
      </c>
      <c r="X501">
        <v>5</v>
      </c>
      <c r="Y501">
        <v>0</v>
      </c>
      <c r="Z501">
        <v>1</v>
      </c>
      <c r="AA501">
        <v>0</v>
      </c>
      <c r="AB501">
        <v>2</v>
      </c>
      <c r="AC501">
        <v>8</v>
      </c>
      <c r="AD501">
        <v>8</v>
      </c>
    </row>
    <row r="502" spans="1:30" x14ac:dyDescent="0.3">
      <c r="A502">
        <v>378</v>
      </c>
      <c r="B502" t="s">
        <v>2373</v>
      </c>
      <c r="C502" t="s">
        <v>1956</v>
      </c>
      <c r="D502">
        <v>20</v>
      </c>
      <c r="E502" t="s">
        <v>2038</v>
      </c>
      <c r="F502">
        <v>1</v>
      </c>
      <c r="G502">
        <v>0</v>
      </c>
      <c r="H502">
        <v>14</v>
      </c>
      <c r="I502">
        <v>1</v>
      </c>
      <c r="J502">
        <v>3</v>
      </c>
      <c r="K502">
        <v>0.33300000000000002</v>
      </c>
      <c r="L502">
        <v>0</v>
      </c>
      <c r="M502">
        <v>0</v>
      </c>
      <c r="O502">
        <v>1</v>
      </c>
      <c r="P502">
        <v>3</v>
      </c>
      <c r="Q502">
        <v>0.33300000000000002</v>
      </c>
      <c r="R502">
        <v>0.33300000000000002</v>
      </c>
      <c r="S502">
        <v>0</v>
      </c>
      <c r="T502">
        <v>2</v>
      </c>
      <c r="U502">
        <v>0</v>
      </c>
      <c r="V502">
        <v>0</v>
      </c>
      <c r="W502">
        <v>0</v>
      </c>
      <c r="X502">
        <v>0</v>
      </c>
      <c r="Y502">
        <v>0</v>
      </c>
      <c r="Z502">
        <v>0</v>
      </c>
      <c r="AA502">
        <v>0</v>
      </c>
      <c r="AB502">
        <v>1</v>
      </c>
      <c r="AC502">
        <v>1</v>
      </c>
      <c r="AD502">
        <v>2</v>
      </c>
    </row>
    <row r="503" spans="1:30" x14ac:dyDescent="0.3">
      <c r="A503">
        <v>379</v>
      </c>
      <c r="B503" t="s">
        <v>2374</v>
      </c>
      <c r="C503" t="s">
        <v>1956</v>
      </c>
      <c r="D503">
        <v>31</v>
      </c>
      <c r="E503" t="s">
        <v>1968</v>
      </c>
      <c r="F503">
        <v>21</v>
      </c>
      <c r="G503">
        <v>0</v>
      </c>
      <c r="H503">
        <v>126</v>
      </c>
      <c r="I503">
        <v>9</v>
      </c>
      <c r="J503">
        <v>35</v>
      </c>
      <c r="K503">
        <v>0.25700000000000001</v>
      </c>
      <c r="L503">
        <v>0</v>
      </c>
      <c r="M503">
        <v>5</v>
      </c>
      <c r="N503">
        <v>0</v>
      </c>
      <c r="O503">
        <v>9</v>
      </c>
      <c r="P503">
        <v>30</v>
      </c>
      <c r="Q503">
        <v>0.3</v>
      </c>
      <c r="R503">
        <v>0.25700000000000001</v>
      </c>
      <c r="S503">
        <v>6</v>
      </c>
      <c r="T503">
        <v>12</v>
      </c>
      <c r="U503">
        <v>0.5</v>
      </c>
      <c r="V503">
        <v>16</v>
      </c>
      <c r="W503">
        <v>22</v>
      </c>
      <c r="X503">
        <v>38</v>
      </c>
      <c r="Y503">
        <v>4</v>
      </c>
      <c r="Z503">
        <v>5</v>
      </c>
      <c r="AA503">
        <v>3</v>
      </c>
      <c r="AB503">
        <v>3</v>
      </c>
      <c r="AC503">
        <v>16</v>
      </c>
      <c r="AD503">
        <v>24</v>
      </c>
    </row>
    <row r="504" spans="1:30" x14ac:dyDescent="0.3">
      <c r="A504">
        <v>379</v>
      </c>
      <c r="B504" t="s">
        <v>2374</v>
      </c>
      <c r="C504" t="s">
        <v>1956</v>
      </c>
      <c r="D504">
        <v>31</v>
      </c>
      <c r="E504" t="s">
        <v>2017</v>
      </c>
      <c r="F504">
        <v>16</v>
      </c>
      <c r="G504">
        <v>0</v>
      </c>
      <c r="H504">
        <v>101</v>
      </c>
      <c r="I504">
        <v>6</v>
      </c>
      <c r="J504">
        <v>25</v>
      </c>
      <c r="K504">
        <v>0.24</v>
      </c>
      <c r="L504">
        <v>0</v>
      </c>
      <c r="M504">
        <v>4</v>
      </c>
      <c r="N504">
        <v>0</v>
      </c>
      <c r="O504">
        <v>6</v>
      </c>
      <c r="P504">
        <v>21</v>
      </c>
      <c r="Q504">
        <v>0.28599999999999998</v>
      </c>
      <c r="R504">
        <v>0.24</v>
      </c>
      <c r="S504">
        <v>5</v>
      </c>
      <c r="T504">
        <v>10</v>
      </c>
      <c r="U504">
        <v>0.5</v>
      </c>
      <c r="V504">
        <v>12</v>
      </c>
      <c r="W504">
        <v>14</v>
      </c>
      <c r="X504">
        <v>26</v>
      </c>
      <c r="Y504">
        <v>3</v>
      </c>
      <c r="Z504">
        <v>4</v>
      </c>
      <c r="AA504">
        <v>2</v>
      </c>
      <c r="AB504">
        <v>2</v>
      </c>
      <c r="AC504">
        <v>13</v>
      </c>
      <c r="AD504">
        <v>17</v>
      </c>
    </row>
    <row r="505" spans="1:30" x14ac:dyDescent="0.3">
      <c r="A505">
        <v>379</v>
      </c>
      <c r="B505" t="s">
        <v>2374</v>
      </c>
      <c r="C505" t="s">
        <v>1956</v>
      </c>
      <c r="D505">
        <v>31</v>
      </c>
      <c r="E505" t="s">
        <v>2020</v>
      </c>
      <c r="F505">
        <v>5</v>
      </c>
      <c r="G505">
        <v>0</v>
      </c>
      <c r="H505">
        <v>25</v>
      </c>
      <c r="I505">
        <v>3</v>
      </c>
      <c r="J505">
        <v>10</v>
      </c>
      <c r="K505">
        <v>0.3</v>
      </c>
      <c r="L505">
        <v>0</v>
      </c>
      <c r="M505">
        <v>1</v>
      </c>
      <c r="N505">
        <v>0</v>
      </c>
      <c r="O505">
        <v>3</v>
      </c>
      <c r="P505">
        <v>9</v>
      </c>
      <c r="Q505">
        <v>0.33300000000000002</v>
      </c>
      <c r="R505">
        <v>0.3</v>
      </c>
      <c r="S505">
        <v>1</v>
      </c>
      <c r="T505">
        <v>2</v>
      </c>
      <c r="U505">
        <v>0.5</v>
      </c>
      <c r="V505">
        <v>4</v>
      </c>
      <c r="W505">
        <v>8</v>
      </c>
      <c r="X505">
        <v>12</v>
      </c>
      <c r="Y505">
        <v>1</v>
      </c>
      <c r="Z505">
        <v>1</v>
      </c>
      <c r="AA505">
        <v>1</v>
      </c>
      <c r="AB505">
        <v>1</v>
      </c>
      <c r="AC505">
        <v>3</v>
      </c>
      <c r="AD505">
        <v>7</v>
      </c>
    </row>
    <row r="506" spans="1:30" x14ac:dyDescent="0.3">
      <c r="A506">
        <v>380</v>
      </c>
      <c r="B506" t="s">
        <v>2375</v>
      </c>
      <c r="C506" t="s">
        <v>1956</v>
      </c>
      <c r="D506">
        <v>33</v>
      </c>
      <c r="E506" t="s">
        <v>1962</v>
      </c>
      <c r="F506">
        <v>71</v>
      </c>
      <c r="G506">
        <v>71</v>
      </c>
      <c r="H506">
        <v>2304</v>
      </c>
      <c r="I506">
        <v>454</v>
      </c>
      <c r="J506">
        <v>932</v>
      </c>
      <c r="K506">
        <v>0.48699999999999999</v>
      </c>
      <c r="L506">
        <v>7</v>
      </c>
      <c r="M506">
        <v>20</v>
      </c>
      <c r="N506">
        <v>0.35</v>
      </c>
      <c r="O506">
        <v>447</v>
      </c>
      <c r="P506">
        <v>912</v>
      </c>
      <c r="Q506">
        <v>0.49</v>
      </c>
      <c r="R506">
        <v>0.49099999999999999</v>
      </c>
      <c r="S506">
        <v>228</v>
      </c>
      <c r="T506">
        <v>298</v>
      </c>
      <c r="U506">
        <v>0.76500000000000001</v>
      </c>
      <c r="V506">
        <v>225</v>
      </c>
      <c r="W506">
        <v>522</v>
      </c>
      <c r="X506">
        <v>747</v>
      </c>
      <c r="Y506">
        <v>153</v>
      </c>
      <c r="Z506">
        <v>69</v>
      </c>
      <c r="AA506">
        <v>14</v>
      </c>
      <c r="AB506">
        <v>156</v>
      </c>
      <c r="AC506">
        <v>175</v>
      </c>
      <c r="AD506">
        <v>1143</v>
      </c>
    </row>
    <row r="507" spans="1:30" x14ac:dyDescent="0.3">
      <c r="A507" t="s">
        <v>1929</v>
      </c>
      <c r="B507" t="s">
        <v>1930</v>
      </c>
      <c r="C507" t="s">
        <v>1931</v>
      </c>
      <c r="D507" t="s">
        <v>198</v>
      </c>
      <c r="E507" t="s">
        <v>1932</v>
      </c>
      <c r="F507" t="s">
        <v>1933</v>
      </c>
      <c r="G507" t="s">
        <v>1934</v>
      </c>
      <c r="H507" t="s">
        <v>1935</v>
      </c>
      <c r="I507" t="s">
        <v>1936</v>
      </c>
      <c r="J507" t="s">
        <v>1937</v>
      </c>
      <c r="K507" t="s">
        <v>1938</v>
      </c>
      <c r="L507" t="s">
        <v>1939</v>
      </c>
      <c r="M507" t="s">
        <v>1940</v>
      </c>
      <c r="N507" t="s">
        <v>1941</v>
      </c>
      <c r="O507" t="s">
        <v>1942</v>
      </c>
      <c r="P507" t="s">
        <v>1943</v>
      </c>
      <c r="Q507" t="s">
        <v>1944</v>
      </c>
      <c r="R507" t="s">
        <v>1945</v>
      </c>
      <c r="S507" t="s">
        <v>1946</v>
      </c>
      <c r="T507" t="s">
        <v>1947</v>
      </c>
      <c r="U507" t="s">
        <v>1948</v>
      </c>
      <c r="V507" t="s">
        <v>1949</v>
      </c>
      <c r="W507" t="s">
        <v>1950</v>
      </c>
      <c r="X507" t="s">
        <v>1951</v>
      </c>
      <c r="Y507" t="s">
        <v>1952</v>
      </c>
      <c r="Z507" t="s">
        <v>1953</v>
      </c>
      <c r="AA507" t="s">
        <v>1954</v>
      </c>
      <c r="AB507" t="s">
        <v>1955</v>
      </c>
      <c r="AC507" t="s">
        <v>1956</v>
      </c>
      <c r="AD507" t="s">
        <v>1957</v>
      </c>
    </row>
    <row r="508" spans="1:30" x14ac:dyDescent="0.3">
      <c r="A508">
        <v>381</v>
      </c>
      <c r="B508" t="s">
        <v>2376</v>
      </c>
      <c r="C508" t="s">
        <v>1961</v>
      </c>
      <c r="D508">
        <v>30</v>
      </c>
      <c r="E508" t="s">
        <v>2015</v>
      </c>
      <c r="F508">
        <v>78</v>
      </c>
      <c r="G508">
        <v>78</v>
      </c>
      <c r="H508">
        <v>2409</v>
      </c>
      <c r="I508">
        <v>447</v>
      </c>
      <c r="J508">
        <v>938</v>
      </c>
      <c r="K508">
        <v>0.47699999999999998</v>
      </c>
      <c r="L508">
        <v>200</v>
      </c>
      <c r="M508">
        <v>458</v>
      </c>
      <c r="N508">
        <v>0.437</v>
      </c>
      <c r="O508">
        <v>247</v>
      </c>
      <c r="P508">
        <v>480</v>
      </c>
      <c r="Q508">
        <v>0.51500000000000001</v>
      </c>
      <c r="R508">
        <v>0.58299999999999996</v>
      </c>
      <c r="S508">
        <v>183</v>
      </c>
      <c r="T508">
        <v>203</v>
      </c>
      <c r="U508">
        <v>0.90100000000000002</v>
      </c>
      <c r="V508">
        <v>22</v>
      </c>
      <c r="W508">
        <v>145</v>
      </c>
      <c r="X508">
        <v>167</v>
      </c>
      <c r="Y508">
        <v>137</v>
      </c>
      <c r="Z508">
        <v>39</v>
      </c>
      <c r="AA508">
        <v>8</v>
      </c>
      <c r="AB508">
        <v>95</v>
      </c>
      <c r="AC508">
        <v>134</v>
      </c>
      <c r="AD508">
        <v>1277</v>
      </c>
    </row>
    <row r="509" spans="1:30" x14ac:dyDescent="0.3">
      <c r="A509">
        <v>382</v>
      </c>
      <c r="B509" t="s">
        <v>2377</v>
      </c>
      <c r="C509" t="s">
        <v>1961</v>
      </c>
      <c r="D509">
        <v>24</v>
      </c>
      <c r="E509" t="s">
        <v>2026</v>
      </c>
      <c r="F509">
        <v>5</v>
      </c>
      <c r="G509">
        <v>0</v>
      </c>
      <c r="H509">
        <v>43</v>
      </c>
      <c r="I509">
        <v>3</v>
      </c>
      <c r="J509">
        <v>15</v>
      </c>
      <c r="K509">
        <v>0.2</v>
      </c>
      <c r="L509">
        <v>1</v>
      </c>
      <c r="M509">
        <v>7</v>
      </c>
      <c r="N509">
        <v>0.14299999999999999</v>
      </c>
      <c r="O509">
        <v>2</v>
      </c>
      <c r="P509">
        <v>8</v>
      </c>
      <c r="Q509">
        <v>0.25</v>
      </c>
      <c r="R509">
        <v>0.23300000000000001</v>
      </c>
      <c r="S509">
        <v>4</v>
      </c>
      <c r="T509">
        <v>6</v>
      </c>
      <c r="U509">
        <v>0.66700000000000004</v>
      </c>
      <c r="V509">
        <v>2</v>
      </c>
      <c r="W509">
        <v>2</v>
      </c>
      <c r="X509">
        <v>4</v>
      </c>
      <c r="Y509">
        <v>2</v>
      </c>
      <c r="Z509">
        <v>0</v>
      </c>
      <c r="AA509">
        <v>0</v>
      </c>
      <c r="AB509">
        <v>2</v>
      </c>
      <c r="AC509">
        <v>11</v>
      </c>
      <c r="AD509">
        <v>11</v>
      </c>
    </row>
    <row r="510" spans="1:30" x14ac:dyDescent="0.3">
      <c r="A510">
        <v>383</v>
      </c>
      <c r="B510" t="s">
        <v>2378</v>
      </c>
      <c r="C510" t="s">
        <v>1961</v>
      </c>
      <c r="D510">
        <v>34</v>
      </c>
      <c r="E510" t="s">
        <v>1974</v>
      </c>
      <c r="F510">
        <v>19</v>
      </c>
      <c r="G510">
        <v>15</v>
      </c>
      <c r="H510">
        <v>416</v>
      </c>
      <c r="I510">
        <v>62</v>
      </c>
      <c r="J510">
        <v>178</v>
      </c>
      <c r="K510">
        <v>0.34799999999999998</v>
      </c>
      <c r="L510">
        <v>31</v>
      </c>
      <c r="M510">
        <v>96</v>
      </c>
      <c r="N510">
        <v>0.32300000000000001</v>
      </c>
      <c r="O510">
        <v>31</v>
      </c>
      <c r="P510">
        <v>82</v>
      </c>
      <c r="Q510">
        <v>0.378</v>
      </c>
      <c r="R510">
        <v>0.435</v>
      </c>
      <c r="S510">
        <v>17</v>
      </c>
      <c r="T510">
        <v>22</v>
      </c>
      <c r="U510">
        <v>0.77300000000000002</v>
      </c>
      <c r="V510">
        <v>13</v>
      </c>
      <c r="W510">
        <v>53</v>
      </c>
      <c r="X510">
        <v>66</v>
      </c>
      <c r="Y510">
        <v>38</v>
      </c>
      <c r="Z510">
        <v>13</v>
      </c>
      <c r="AA510">
        <v>3</v>
      </c>
      <c r="AB510">
        <v>16</v>
      </c>
      <c r="AC510">
        <v>28</v>
      </c>
      <c r="AD510">
        <v>172</v>
      </c>
    </row>
    <row r="511" spans="1:30" x14ac:dyDescent="0.3">
      <c r="A511">
        <v>384</v>
      </c>
      <c r="B511" t="s">
        <v>2379</v>
      </c>
      <c r="C511" t="s">
        <v>2004</v>
      </c>
      <c r="D511">
        <v>33</v>
      </c>
      <c r="E511" t="s">
        <v>2113</v>
      </c>
      <c r="F511">
        <v>47</v>
      </c>
      <c r="G511">
        <v>0</v>
      </c>
      <c r="H511">
        <v>683</v>
      </c>
      <c r="I511">
        <v>75</v>
      </c>
      <c r="J511">
        <v>176</v>
      </c>
      <c r="K511">
        <v>0.42599999999999999</v>
      </c>
      <c r="L511">
        <v>20</v>
      </c>
      <c r="M511">
        <v>63</v>
      </c>
      <c r="N511">
        <v>0.317</v>
      </c>
      <c r="O511">
        <v>55</v>
      </c>
      <c r="P511">
        <v>113</v>
      </c>
      <c r="Q511">
        <v>0.48699999999999999</v>
      </c>
      <c r="R511">
        <v>0.48299999999999998</v>
      </c>
      <c r="S511">
        <v>18</v>
      </c>
      <c r="T511">
        <v>21</v>
      </c>
      <c r="U511">
        <v>0.85699999999999998</v>
      </c>
      <c r="V511">
        <v>8</v>
      </c>
      <c r="W511">
        <v>60</v>
      </c>
      <c r="X511">
        <v>68</v>
      </c>
      <c r="Y511">
        <v>96</v>
      </c>
      <c r="Z511">
        <v>20</v>
      </c>
      <c r="AA511">
        <v>4</v>
      </c>
      <c r="AB511">
        <v>38</v>
      </c>
      <c r="AC511">
        <v>67</v>
      </c>
      <c r="AD511">
        <v>188</v>
      </c>
    </row>
    <row r="512" spans="1:30" x14ac:dyDescent="0.3">
      <c r="A512">
        <v>385</v>
      </c>
      <c r="B512" t="s">
        <v>2380</v>
      </c>
      <c r="C512" t="s">
        <v>1961</v>
      </c>
      <c r="D512">
        <v>22</v>
      </c>
      <c r="E512" t="s">
        <v>1968</v>
      </c>
      <c r="F512">
        <v>76</v>
      </c>
      <c r="G512">
        <v>5</v>
      </c>
      <c r="H512">
        <v>1563</v>
      </c>
      <c r="I512">
        <v>203</v>
      </c>
      <c r="J512">
        <v>496</v>
      </c>
      <c r="K512">
        <v>0.40899999999999997</v>
      </c>
      <c r="L512">
        <v>39</v>
      </c>
      <c r="M512">
        <v>131</v>
      </c>
      <c r="N512">
        <v>0.29799999999999999</v>
      </c>
      <c r="O512">
        <v>164</v>
      </c>
      <c r="P512">
        <v>365</v>
      </c>
      <c r="Q512">
        <v>0.44900000000000001</v>
      </c>
      <c r="R512">
        <v>0.44900000000000001</v>
      </c>
      <c r="S512">
        <v>85</v>
      </c>
      <c r="T512">
        <v>126</v>
      </c>
      <c r="U512">
        <v>0.67500000000000004</v>
      </c>
      <c r="V512">
        <v>27</v>
      </c>
      <c r="W512">
        <v>125</v>
      </c>
      <c r="X512">
        <v>152</v>
      </c>
      <c r="Y512">
        <v>155</v>
      </c>
      <c r="Z512">
        <v>48</v>
      </c>
      <c r="AA512">
        <v>14</v>
      </c>
      <c r="AB512">
        <v>65</v>
      </c>
      <c r="AC512">
        <v>146</v>
      </c>
      <c r="AD512">
        <v>530</v>
      </c>
    </row>
    <row r="513" spans="1:30" x14ac:dyDescent="0.3">
      <c r="A513">
        <v>385</v>
      </c>
      <c r="B513" t="s">
        <v>2380</v>
      </c>
      <c r="C513" t="s">
        <v>1961</v>
      </c>
      <c r="D513">
        <v>22</v>
      </c>
      <c r="E513" t="s">
        <v>1972</v>
      </c>
      <c r="F513">
        <v>35</v>
      </c>
      <c r="G513">
        <v>3</v>
      </c>
      <c r="H513">
        <v>772</v>
      </c>
      <c r="I513">
        <v>86</v>
      </c>
      <c r="J513">
        <v>222</v>
      </c>
      <c r="K513">
        <v>0.38700000000000001</v>
      </c>
      <c r="L513">
        <v>14</v>
      </c>
      <c r="M513">
        <v>50</v>
      </c>
      <c r="N513">
        <v>0.28000000000000003</v>
      </c>
      <c r="O513">
        <v>72</v>
      </c>
      <c r="P513">
        <v>172</v>
      </c>
      <c r="Q513">
        <v>0.41899999999999998</v>
      </c>
      <c r="R513">
        <v>0.41899999999999998</v>
      </c>
      <c r="S513">
        <v>53</v>
      </c>
      <c r="T513">
        <v>71</v>
      </c>
      <c r="U513">
        <v>0.746</v>
      </c>
      <c r="V513">
        <v>12</v>
      </c>
      <c r="W513">
        <v>56</v>
      </c>
      <c r="X513">
        <v>68</v>
      </c>
      <c r="Y513">
        <v>87</v>
      </c>
      <c r="Z513">
        <v>18</v>
      </c>
      <c r="AA513">
        <v>7</v>
      </c>
      <c r="AB513">
        <v>30</v>
      </c>
      <c r="AC513">
        <v>65</v>
      </c>
      <c r="AD513">
        <v>239</v>
      </c>
    </row>
    <row r="514" spans="1:30" x14ac:dyDescent="0.3">
      <c r="A514">
        <v>385</v>
      </c>
      <c r="B514" t="s">
        <v>2380</v>
      </c>
      <c r="C514" t="s">
        <v>1961</v>
      </c>
      <c r="D514">
        <v>22</v>
      </c>
      <c r="E514" t="s">
        <v>2015</v>
      </c>
      <c r="F514">
        <v>41</v>
      </c>
      <c r="G514">
        <v>2</v>
      </c>
      <c r="H514">
        <v>791</v>
      </c>
      <c r="I514">
        <v>117</v>
      </c>
      <c r="J514">
        <v>274</v>
      </c>
      <c r="K514">
        <v>0.42699999999999999</v>
      </c>
      <c r="L514">
        <v>25</v>
      </c>
      <c r="M514">
        <v>81</v>
      </c>
      <c r="N514">
        <v>0.309</v>
      </c>
      <c r="O514">
        <v>92</v>
      </c>
      <c r="P514">
        <v>193</v>
      </c>
      <c r="Q514">
        <v>0.47699999999999998</v>
      </c>
      <c r="R514">
        <v>0.47299999999999998</v>
      </c>
      <c r="S514">
        <v>32</v>
      </c>
      <c r="T514">
        <v>55</v>
      </c>
      <c r="U514">
        <v>0.58199999999999996</v>
      </c>
      <c r="V514">
        <v>15</v>
      </c>
      <c r="W514">
        <v>69</v>
      </c>
      <c r="X514">
        <v>84</v>
      </c>
      <c r="Y514">
        <v>68</v>
      </c>
      <c r="Z514">
        <v>30</v>
      </c>
      <c r="AA514">
        <v>7</v>
      </c>
      <c r="AB514">
        <v>35</v>
      </c>
      <c r="AC514">
        <v>81</v>
      </c>
      <c r="AD514">
        <v>291</v>
      </c>
    </row>
    <row r="515" spans="1:30" x14ac:dyDescent="0.3">
      <c r="A515">
        <v>386</v>
      </c>
      <c r="B515" t="s">
        <v>2381</v>
      </c>
      <c r="C515" t="s">
        <v>1961</v>
      </c>
      <c r="D515">
        <v>23</v>
      </c>
      <c r="E515" t="s">
        <v>1964</v>
      </c>
      <c r="F515">
        <v>67</v>
      </c>
      <c r="G515">
        <v>65</v>
      </c>
      <c r="H515">
        <v>1286</v>
      </c>
      <c r="I515">
        <v>92</v>
      </c>
      <c r="J515">
        <v>201</v>
      </c>
      <c r="K515">
        <v>0.45800000000000002</v>
      </c>
      <c r="L515">
        <v>21</v>
      </c>
      <c r="M515">
        <v>85</v>
      </c>
      <c r="N515">
        <v>0.247</v>
      </c>
      <c r="O515">
        <v>71</v>
      </c>
      <c r="P515">
        <v>116</v>
      </c>
      <c r="Q515">
        <v>0.61199999999999999</v>
      </c>
      <c r="R515">
        <v>0.51</v>
      </c>
      <c r="S515">
        <v>23</v>
      </c>
      <c r="T515">
        <v>48</v>
      </c>
      <c r="U515">
        <v>0.47899999999999998</v>
      </c>
      <c r="V515">
        <v>60</v>
      </c>
      <c r="W515">
        <v>195</v>
      </c>
      <c r="X515">
        <v>255</v>
      </c>
      <c r="Y515">
        <v>70</v>
      </c>
      <c r="Z515">
        <v>53</v>
      </c>
      <c r="AA515">
        <v>29</v>
      </c>
      <c r="AB515">
        <v>46</v>
      </c>
      <c r="AC515">
        <v>141</v>
      </c>
      <c r="AD515">
        <v>228</v>
      </c>
    </row>
    <row r="516" spans="1:30" x14ac:dyDescent="0.3">
      <c r="A516">
        <v>387</v>
      </c>
      <c r="B516" t="s">
        <v>2382</v>
      </c>
      <c r="C516" t="s">
        <v>2004</v>
      </c>
      <c r="D516">
        <v>29</v>
      </c>
      <c r="E516" t="s">
        <v>2036</v>
      </c>
      <c r="F516">
        <v>72</v>
      </c>
      <c r="G516">
        <v>10</v>
      </c>
      <c r="H516">
        <v>1330</v>
      </c>
      <c r="I516">
        <v>176</v>
      </c>
      <c r="J516">
        <v>452</v>
      </c>
      <c r="K516">
        <v>0.38900000000000001</v>
      </c>
      <c r="L516">
        <v>62</v>
      </c>
      <c r="M516">
        <v>193</v>
      </c>
      <c r="N516">
        <v>0.32100000000000001</v>
      </c>
      <c r="O516">
        <v>114</v>
      </c>
      <c r="P516">
        <v>259</v>
      </c>
      <c r="Q516">
        <v>0.44</v>
      </c>
      <c r="R516">
        <v>0.45800000000000002</v>
      </c>
      <c r="S516">
        <v>66</v>
      </c>
      <c r="T516">
        <v>74</v>
      </c>
      <c r="U516">
        <v>0.89200000000000002</v>
      </c>
      <c r="V516">
        <v>13</v>
      </c>
      <c r="W516">
        <v>96</v>
      </c>
      <c r="X516">
        <v>109</v>
      </c>
      <c r="Y516">
        <v>162</v>
      </c>
      <c r="Z516">
        <v>33</v>
      </c>
      <c r="AA516">
        <v>6</v>
      </c>
      <c r="AB516">
        <v>57</v>
      </c>
      <c r="AC516">
        <v>75</v>
      </c>
      <c r="AD516">
        <v>480</v>
      </c>
    </row>
    <row r="517" spans="1:30" x14ac:dyDescent="0.3">
      <c r="A517">
        <v>388</v>
      </c>
      <c r="B517" t="s">
        <v>2383</v>
      </c>
      <c r="C517" t="s">
        <v>2384</v>
      </c>
      <c r="D517">
        <v>21</v>
      </c>
      <c r="E517" t="s">
        <v>1968</v>
      </c>
      <c r="F517">
        <v>35</v>
      </c>
      <c r="G517">
        <v>1</v>
      </c>
      <c r="H517">
        <v>261</v>
      </c>
      <c r="I517">
        <v>26</v>
      </c>
      <c r="J517">
        <v>67</v>
      </c>
      <c r="K517">
        <v>0.38800000000000001</v>
      </c>
      <c r="L517">
        <v>5</v>
      </c>
      <c r="M517">
        <v>19</v>
      </c>
      <c r="N517">
        <v>0.26300000000000001</v>
      </c>
      <c r="O517">
        <v>21</v>
      </c>
      <c r="P517">
        <v>48</v>
      </c>
      <c r="Q517">
        <v>0.438</v>
      </c>
      <c r="R517">
        <v>0.42499999999999999</v>
      </c>
      <c r="S517">
        <v>16</v>
      </c>
      <c r="T517">
        <v>24</v>
      </c>
      <c r="U517">
        <v>0.66700000000000004</v>
      </c>
      <c r="V517">
        <v>15</v>
      </c>
      <c r="W517">
        <v>24</v>
      </c>
      <c r="X517">
        <v>39</v>
      </c>
      <c r="Y517">
        <v>11</v>
      </c>
      <c r="Z517">
        <v>6</v>
      </c>
      <c r="AA517">
        <v>1</v>
      </c>
      <c r="AB517">
        <v>11</v>
      </c>
      <c r="AC517">
        <v>15</v>
      </c>
      <c r="AD517">
        <v>73</v>
      </c>
    </row>
    <row r="518" spans="1:30" x14ac:dyDescent="0.3">
      <c r="A518">
        <v>388</v>
      </c>
      <c r="B518" t="s">
        <v>2383</v>
      </c>
      <c r="C518" t="s">
        <v>1961</v>
      </c>
      <c r="D518">
        <v>21</v>
      </c>
      <c r="E518" t="s">
        <v>1966</v>
      </c>
      <c r="F518">
        <v>25</v>
      </c>
      <c r="G518">
        <v>0</v>
      </c>
      <c r="H518">
        <v>108</v>
      </c>
      <c r="I518">
        <v>8</v>
      </c>
      <c r="J518">
        <v>24</v>
      </c>
      <c r="K518">
        <v>0.33300000000000002</v>
      </c>
      <c r="L518">
        <v>1</v>
      </c>
      <c r="M518">
        <v>6</v>
      </c>
      <c r="N518">
        <v>0.16700000000000001</v>
      </c>
      <c r="O518">
        <v>7</v>
      </c>
      <c r="P518">
        <v>18</v>
      </c>
      <c r="Q518">
        <v>0.38900000000000001</v>
      </c>
      <c r="R518">
        <v>0.35399999999999998</v>
      </c>
      <c r="S518">
        <v>12</v>
      </c>
      <c r="T518">
        <v>16</v>
      </c>
      <c r="U518">
        <v>0.75</v>
      </c>
      <c r="V518">
        <v>4</v>
      </c>
      <c r="W518">
        <v>10</v>
      </c>
      <c r="X518">
        <v>14</v>
      </c>
      <c r="Y518">
        <v>3</v>
      </c>
      <c r="Z518">
        <v>3</v>
      </c>
      <c r="AA518">
        <v>0</v>
      </c>
      <c r="AB518">
        <v>3</v>
      </c>
      <c r="AC518">
        <v>5</v>
      </c>
      <c r="AD518">
        <v>29</v>
      </c>
    </row>
    <row r="519" spans="1:30" x14ac:dyDescent="0.3">
      <c r="A519">
        <v>388</v>
      </c>
      <c r="B519" t="s">
        <v>2383</v>
      </c>
      <c r="C519" t="s">
        <v>1981</v>
      </c>
      <c r="D519">
        <v>21</v>
      </c>
      <c r="E519" t="s">
        <v>1974</v>
      </c>
      <c r="F519">
        <v>10</v>
      </c>
      <c r="G519">
        <v>1</v>
      </c>
      <c r="H519">
        <v>153</v>
      </c>
      <c r="I519">
        <v>18</v>
      </c>
      <c r="J519">
        <v>43</v>
      </c>
      <c r="K519">
        <v>0.41899999999999998</v>
      </c>
      <c r="L519">
        <v>4</v>
      </c>
      <c r="M519">
        <v>13</v>
      </c>
      <c r="N519">
        <v>0.308</v>
      </c>
      <c r="O519">
        <v>14</v>
      </c>
      <c r="P519">
        <v>30</v>
      </c>
      <c r="Q519">
        <v>0.46700000000000003</v>
      </c>
      <c r="R519">
        <v>0.46500000000000002</v>
      </c>
      <c r="S519">
        <v>4</v>
      </c>
      <c r="T519">
        <v>8</v>
      </c>
      <c r="U519">
        <v>0.5</v>
      </c>
      <c r="V519">
        <v>11</v>
      </c>
      <c r="W519">
        <v>14</v>
      </c>
      <c r="X519">
        <v>25</v>
      </c>
      <c r="Y519">
        <v>8</v>
      </c>
      <c r="Z519">
        <v>3</v>
      </c>
      <c r="AA519">
        <v>1</v>
      </c>
      <c r="AB519">
        <v>8</v>
      </c>
      <c r="AC519">
        <v>10</v>
      </c>
      <c r="AD519">
        <v>44</v>
      </c>
    </row>
    <row r="520" spans="1:30" x14ac:dyDescent="0.3">
      <c r="A520">
        <v>389</v>
      </c>
      <c r="B520" t="s">
        <v>2385</v>
      </c>
      <c r="C520" t="s">
        <v>2004</v>
      </c>
      <c r="D520">
        <v>30</v>
      </c>
      <c r="E520" t="s">
        <v>1968</v>
      </c>
      <c r="F520">
        <v>42</v>
      </c>
      <c r="G520">
        <v>1</v>
      </c>
      <c r="H520">
        <v>591</v>
      </c>
      <c r="I520">
        <v>88</v>
      </c>
      <c r="J520">
        <v>255</v>
      </c>
      <c r="K520">
        <v>0.34499999999999997</v>
      </c>
      <c r="L520">
        <v>31</v>
      </c>
      <c r="M520">
        <v>112</v>
      </c>
      <c r="N520">
        <v>0.27700000000000002</v>
      </c>
      <c r="O520">
        <v>57</v>
      </c>
      <c r="P520">
        <v>143</v>
      </c>
      <c r="Q520">
        <v>0.39900000000000002</v>
      </c>
      <c r="R520">
        <v>0.40600000000000003</v>
      </c>
      <c r="S520">
        <v>31</v>
      </c>
      <c r="T520">
        <v>46</v>
      </c>
      <c r="U520">
        <v>0.67400000000000004</v>
      </c>
      <c r="V520">
        <v>17</v>
      </c>
      <c r="W520">
        <v>33</v>
      </c>
      <c r="X520">
        <v>50</v>
      </c>
      <c r="Y520">
        <v>97</v>
      </c>
      <c r="Z520">
        <v>20</v>
      </c>
      <c r="AA520">
        <v>3</v>
      </c>
      <c r="AB520">
        <v>30</v>
      </c>
      <c r="AC520">
        <v>76</v>
      </c>
      <c r="AD520">
        <v>238</v>
      </c>
    </row>
    <row r="521" spans="1:30" x14ac:dyDescent="0.3">
      <c r="A521">
        <v>389</v>
      </c>
      <c r="B521" t="s">
        <v>2385</v>
      </c>
      <c r="C521" t="s">
        <v>2004</v>
      </c>
      <c r="D521">
        <v>30</v>
      </c>
      <c r="E521" t="s">
        <v>1969</v>
      </c>
      <c r="F521">
        <v>33</v>
      </c>
      <c r="G521">
        <v>1</v>
      </c>
      <c r="H521">
        <v>465</v>
      </c>
      <c r="I521">
        <v>71</v>
      </c>
      <c r="J521">
        <v>204</v>
      </c>
      <c r="K521">
        <v>0.34799999999999998</v>
      </c>
      <c r="L521">
        <v>24</v>
      </c>
      <c r="M521">
        <v>92</v>
      </c>
      <c r="N521">
        <v>0.26100000000000001</v>
      </c>
      <c r="O521">
        <v>47</v>
      </c>
      <c r="P521">
        <v>112</v>
      </c>
      <c r="Q521">
        <v>0.42</v>
      </c>
      <c r="R521">
        <v>0.40699999999999997</v>
      </c>
      <c r="S521">
        <v>26</v>
      </c>
      <c r="T521">
        <v>40</v>
      </c>
      <c r="U521">
        <v>0.65</v>
      </c>
      <c r="V521">
        <v>14</v>
      </c>
      <c r="W521">
        <v>25</v>
      </c>
      <c r="X521">
        <v>39</v>
      </c>
      <c r="Y521">
        <v>77</v>
      </c>
      <c r="Z521">
        <v>14</v>
      </c>
      <c r="AA521">
        <v>3</v>
      </c>
      <c r="AB521">
        <v>22</v>
      </c>
      <c r="AC521">
        <v>68</v>
      </c>
      <c r="AD521">
        <v>192</v>
      </c>
    </row>
    <row r="522" spans="1:30" x14ac:dyDescent="0.3">
      <c r="A522">
        <v>389</v>
      </c>
      <c r="B522" t="s">
        <v>2385</v>
      </c>
      <c r="C522" t="s">
        <v>2004</v>
      </c>
      <c r="D522">
        <v>30</v>
      </c>
      <c r="E522" t="s">
        <v>2015</v>
      </c>
      <c r="F522">
        <v>9</v>
      </c>
      <c r="G522">
        <v>0</v>
      </c>
      <c r="H522">
        <v>126</v>
      </c>
      <c r="I522">
        <v>17</v>
      </c>
      <c r="J522">
        <v>51</v>
      </c>
      <c r="K522">
        <v>0.33300000000000002</v>
      </c>
      <c r="L522">
        <v>7</v>
      </c>
      <c r="M522">
        <v>20</v>
      </c>
      <c r="N522">
        <v>0.35</v>
      </c>
      <c r="O522">
        <v>10</v>
      </c>
      <c r="P522">
        <v>31</v>
      </c>
      <c r="Q522">
        <v>0.32300000000000001</v>
      </c>
      <c r="R522">
        <v>0.40200000000000002</v>
      </c>
      <c r="S522">
        <v>5</v>
      </c>
      <c r="T522">
        <v>6</v>
      </c>
      <c r="U522">
        <v>0.83299999999999996</v>
      </c>
      <c r="V522">
        <v>3</v>
      </c>
      <c r="W522">
        <v>8</v>
      </c>
      <c r="X522">
        <v>11</v>
      </c>
      <c r="Y522">
        <v>20</v>
      </c>
      <c r="Z522">
        <v>6</v>
      </c>
      <c r="AA522">
        <v>0</v>
      </c>
      <c r="AB522">
        <v>8</v>
      </c>
      <c r="AC522">
        <v>8</v>
      </c>
      <c r="AD522">
        <v>46</v>
      </c>
    </row>
    <row r="523" spans="1:30" x14ac:dyDescent="0.3">
      <c r="A523">
        <v>390</v>
      </c>
      <c r="B523" t="s">
        <v>2386</v>
      </c>
      <c r="C523" t="s">
        <v>1956</v>
      </c>
      <c r="D523">
        <v>23</v>
      </c>
      <c r="E523" t="s">
        <v>1968</v>
      </c>
      <c r="F523">
        <v>54</v>
      </c>
      <c r="G523">
        <v>4</v>
      </c>
      <c r="H523">
        <v>798</v>
      </c>
      <c r="I523">
        <v>126</v>
      </c>
      <c r="J523">
        <v>260</v>
      </c>
      <c r="K523">
        <v>0.48499999999999999</v>
      </c>
      <c r="L523">
        <v>0</v>
      </c>
      <c r="M523">
        <v>2</v>
      </c>
      <c r="N523">
        <v>0</v>
      </c>
      <c r="O523">
        <v>126</v>
      </c>
      <c r="P523">
        <v>258</v>
      </c>
      <c r="Q523">
        <v>0.48799999999999999</v>
      </c>
      <c r="R523">
        <v>0.48499999999999999</v>
      </c>
      <c r="S523">
        <v>56</v>
      </c>
      <c r="T523">
        <v>106</v>
      </c>
      <c r="U523">
        <v>0.52800000000000002</v>
      </c>
      <c r="V523">
        <v>95</v>
      </c>
      <c r="W523">
        <v>208</v>
      </c>
      <c r="X523">
        <v>303</v>
      </c>
      <c r="Y523">
        <v>33</v>
      </c>
      <c r="Z523">
        <v>32</v>
      </c>
      <c r="AA523">
        <v>20</v>
      </c>
      <c r="AB523">
        <v>59</v>
      </c>
      <c r="AC523">
        <v>104</v>
      </c>
      <c r="AD523">
        <v>308</v>
      </c>
    </row>
    <row r="524" spans="1:30" x14ac:dyDescent="0.3">
      <c r="A524">
        <v>390</v>
      </c>
      <c r="B524" t="s">
        <v>2386</v>
      </c>
      <c r="C524" t="s">
        <v>1956</v>
      </c>
      <c r="D524">
        <v>23</v>
      </c>
      <c r="E524" t="s">
        <v>1970</v>
      </c>
      <c r="F524">
        <v>32</v>
      </c>
      <c r="G524">
        <v>4</v>
      </c>
      <c r="H524">
        <v>391</v>
      </c>
      <c r="I524">
        <v>47</v>
      </c>
      <c r="J524">
        <v>91</v>
      </c>
      <c r="K524">
        <v>0.51600000000000001</v>
      </c>
      <c r="L524">
        <v>0</v>
      </c>
      <c r="M524">
        <v>0</v>
      </c>
      <c r="O524">
        <v>47</v>
      </c>
      <c r="P524">
        <v>91</v>
      </c>
      <c r="Q524">
        <v>0.51600000000000001</v>
      </c>
      <c r="R524">
        <v>0.51600000000000001</v>
      </c>
      <c r="S524">
        <v>21</v>
      </c>
      <c r="T524">
        <v>48</v>
      </c>
      <c r="U524">
        <v>0.438</v>
      </c>
      <c r="V524">
        <v>33</v>
      </c>
      <c r="W524">
        <v>100</v>
      </c>
      <c r="X524">
        <v>133</v>
      </c>
      <c r="Y524">
        <v>9</v>
      </c>
      <c r="Z524">
        <v>16</v>
      </c>
      <c r="AA524">
        <v>11</v>
      </c>
      <c r="AB524">
        <v>33</v>
      </c>
      <c r="AC524">
        <v>54</v>
      </c>
      <c r="AD524">
        <v>115</v>
      </c>
    </row>
    <row r="525" spans="1:30" x14ac:dyDescent="0.3">
      <c r="A525">
        <v>390</v>
      </c>
      <c r="B525" t="s">
        <v>2386</v>
      </c>
      <c r="C525" t="s">
        <v>1956</v>
      </c>
      <c r="D525">
        <v>23</v>
      </c>
      <c r="E525" t="s">
        <v>1974</v>
      </c>
      <c r="F525">
        <v>22</v>
      </c>
      <c r="G525">
        <v>0</v>
      </c>
      <c r="H525">
        <v>407</v>
      </c>
      <c r="I525">
        <v>79</v>
      </c>
      <c r="J525">
        <v>169</v>
      </c>
      <c r="K525">
        <v>0.46700000000000003</v>
      </c>
      <c r="L525">
        <v>0</v>
      </c>
      <c r="M525">
        <v>2</v>
      </c>
      <c r="N525">
        <v>0</v>
      </c>
      <c r="O525">
        <v>79</v>
      </c>
      <c r="P525">
        <v>167</v>
      </c>
      <c r="Q525">
        <v>0.47299999999999998</v>
      </c>
      <c r="R525">
        <v>0.46700000000000003</v>
      </c>
      <c r="S525">
        <v>35</v>
      </c>
      <c r="T525">
        <v>58</v>
      </c>
      <c r="U525">
        <v>0.60299999999999998</v>
      </c>
      <c r="V525">
        <v>62</v>
      </c>
      <c r="W525">
        <v>108</v>
      </c>
      <c r="X525">
        <v>170</v>
      </c>
      <c r="Y525">
        <v>24</v>
      </c>
      <c r="Z525">
        <v>16</v>
      </c>
      <c r="AA525">
        <v>9</v>
      </c>
      <c r="AB525">
        <v>26</v>
      </c>
      <c r="AC525">
        <v>50</v>
      </c>
      <c r="AD525">
        <v>193</v>
      </c>
    </row>
    <row r="526" spans="1:30" x14ac:dyDescent="0.3">
      <c r="A526">
        <v>391</v>
      </c>
      <c r="B526" t="s">
        <v>2387</v>
      </c>
      <c r="C526" t="s">
        <v>2004</v>
      </c>
      <c r="D526">
        <v>28</v>
      </c>
      <c r="E526" t="s">
        <v>1968</v>
      </c>
      <c r="F526">
        <v>68</v>
      </c>
      <c r="G526">
        <v>68</v>
      </c>
      <c r="H526">
        <v>2018</v>
      </c>
      <c r="I526">
        <v>275</v>
      </c>
      <c r="J526">
        <v>645</v>
      </c>
      <c r="K526">
        <v>0.42599999999999999</v>
      </c>
      <c r="L526">
        <v>27</v>
      </c>
      <c r="M526">
        <v>86</v>
      </c>
      <c r="N526">
        <v>0.314</v>
      </c>
      <c r="O526">
        <v>248</v>
      </c>
      <c r="P526">
        <v>559</v>
      </c>
      <c r="Q526">
        <v>0.44400000000000001</v>
      </c>
      <c r="R526">
        <v>0.44700000000000001</v>
      </c>
      <c r="S526">
        <v>31</v>
      </c>
      <c r="T526">
        <v>78</v>
      </c>
      <c r="U526">
        <v>0.39700000000000002</v>
      </c>
      <c r="V526">
        <v>73</v>
      </c>
      <c r="W526">
        <v>300</v>
      </c>
      <c r="X526">
        <v>373</v>
      </c>
      <c r="Y526">
        <v>538</v>
      </c>
      <c r="Z526">
        <v>91</v>
      </c>
      <c r="AA526">
        <v>7</v>
      </c>
      <c r="AB526">
        <v>210</v>
      </c>
      <c r="AC526">
        <v>153</v>
      </c>
      <c r="AD526">
        <v>608</v>
      </c>
    </row>
    <row r="527" spans="1:30" x14ac:dyDescent="0.3">
      <c r="A527">
        <v>391</v>
      </c>
      <c r="B527" t="s">
        <v>2387</v>
      </c>
      <c r="C527" t="s">
        <v>2004</v>
      </c>
      <c r="D527">
        <v>28</v>
      </c>
      <c r="E527" t="s">
        <v>2020</v>
      </c>
      <c r="F527">
        <v>22</v>
      </c>
      <c r="G527">
        <v>22</v>
      </c>
      <c r="H527">
        <v>699</v>
      </c>
      <c r="I527">
        <v>81</v>
      </c>
      <c r="J527">
        <v>200</v>
      </c>
      <c r="K527">
        <v>0.40500000000000003</v>
      </c>
      <c r="L527">
        <v>8</v>
      </c>
      <c r="M527">
        <v>32</v>
      </c>
      <c r="N527">
        <v>0.25</v>
      </c>
      <c r="O527">
        <v>73</v>
      </c>
      <c r="P527">
        <v>168</v>
      </c>
      <c r="Q527">
        <v>0.435</v>
      </c>
      <c r="R527">
        <v>0.42499999999999999</v>
      </c>
      <c r="S527">
        <v>12</v>
      </c>
      <c r="T527">
        <v>36</v>
      </c>
      <c r="U527">
        <v>0.33300000000000002</v>
      </c>
      <c r="V527">
        <v>25</v>
      </c>
      <c r="W527">
        <v>140</v>
      </c>
      <c r="X527">
        <v>165</v>
      </c>
      <c r="Y527">
        <v>237</v>
      </c>
      <c r="Z527">
        <v>37</v>
      </c>
      <c r="AA527">
        <v>3</v>
      </c>
      <c r="AB527">
        <v>75</v>
      </c>
      <c r="AC527">
        <v>42</v>
      </c>
      <c r="AD527">
        <v>182</v>
      </c>
    </row>
    <row r="528" spans="1:30" x14ac:dyDescent="0.3">
      <c r="A528">
        <v>391</v>
      </c>
      <c r="B528" t="s">
        <v>2387</v>
      </c>
      <c r="C528" t="s">
        <v>2004</v>
      </c>
      <c r="D528">
        <v>28</v>
      </c>
      <c r="E528" t="s">
        <v>1982</v>
      </c>
      <c r="F528">
        <v>46</v>
      </c>
      <c r="G528">
        <v>46</v>
      </c>
      <c r="H528">
        <v>1319</v>
      </c>
      <c r="I528">
        <v>194</v>
      </c>
      <c r="J528">
        <v>445</v>
      </c>
      <c r="K528">
        <v>0.436</v>
      </c>
      <c r="L528">
        <v>19</v>
      </c>
      <c r="M528">
        <v>54</v>
      </c>
      <c r="N528">
        <v>0.35199999999999998</v>
      </c>
      <c r="O528">
        <v>175</v>
      </c>
      <c r="P528">
        <v>391</v>
      </c>
      <c r="Q528">
        <v>0.44800000000000001</v>
      </c>
      <c r="R528">
        <v>0.45700000000000002</v>
      </c>
      <c r="S528">
        <v>19</v>
      </c>
      <c r="T528">
        <v>42</v>
      </c>
      <c r="U528">
        <v>0.45200000000000001</v>
      </c>
      <c r="V528">
        <v>48</v>
      </c>
      <c r="W528">
        <v>160</v>
      </c>
      <c r="X528">
        <v>208</v>
      </c>
      <c r="Y528">
        <v>301</v>
      </c>
      <c r="Z528">
        <v>54</v>
      </c>
      <c r="AA528">
        <v>4</v>
      </c>
      <c r="AB528">
        <v>135</v>
      </c>
      <c r="AC528">
        <v>111</v>
      </c>
      <c r="AD528">
        <v>426</v>
      </c>
    </row>
    <row r="529" spans="1:30" x14ac:dyDescent="0.3">
      <c r="A529">
        <v>392</v>
      </c>
      <c r="B529" t="s">
        <v>2388</v>
      </c>
      <c r="C529" t="s">
        <v>2004</v>
      </c>
      <c r="D529">
        <v>26</v>
      </c>
      <c r="E529" t="s">
        <v>2008</v>
      </c>
      <c r="F529">
        <v>51</v>
      </c>
      <c r="G529">
        <v>51</v>
      </c>
      <c r="H529">
        <v>1530</v>
      </c>
      <c r="I529">
        <v>338</v>
      </c>
      <c r="J529">
        <v>835</v>
      </c>
      <c r="K529">
        <v>0.40500000000000003</v>
      </c>
      <c r="L529">
        <v>76</v>
      </c>
      <c r="M529">
        <v>271</v>
      </c>
      <c r="N529">
        <v>0.28000000000000003</v>
      </c>
      <c r="O529">
        <v>262</v>
      </c>
      <c r="P529">
        <v>564</v>
      </c>
      <c r="Q529">
        <v>0.46500000000000002</v>
      </c>
      <c r="R529">
        <v>0.45</v>
      </c>
      <c r="S529">
        <v>152</v>
      </c>
      <c r="T529">
        <v>187</v>
      </c>
      <c r="U529">
        <v>0.81299999999999994</v>
      </c>
      <c r="V529">
        <v>35</v>
      </c>
      <c r="W529">
        <v>126</v>
      </c>
      <c r="X529">
        <v>161</v>
      </c>
      <c r="Y529">
        <v>251</v>
      </c>
      <c r="Z529">
        <v>36</v>
      </c>
      <c r="AA529">
        <v>16</v>
      </c>
      <c r="AB529">
        <v>161</v>
      </c>
      <c r="AC529">
        <v>63</v>
      </c>
      <c r="AD529">
        <v>904</v>
      </c>
    </row>
    <row r="530" spans="1:30" x14ac:dyDescent="0.3">
      <c r="A530">
        <v>393</v>
      </c>
      <c r="B530" t="s">
        <v>2389</v>
      </c>
      <c r="C530" t="s">
        <v>1981</v>
      </c>
      <c r="D530">
        <v>23</v>
      </c>
      <c r="E530" t="s">
        <v>2068</v>
      </c>
      <c r="F530">
        <v>82</v>
      </c>
      <c r="G530">
        <v>61</v>
      </c>
      <c r="H530">
        <v>2092</v>
      </c>
      <c r="I530">
        <v>309</v>
      </c>
      <c r="J530">
        <v>753</v>
      </c>
      <c r="K530">
        <v>0.41</v>
      </c>
      <c r="L530">
        <v>145</v>
      </c>
      <c r="M530">
        <v>390</v>
      </c>
      <c r="N530">
        <v>0.372</v>
      </c>
      <c r="O530">
        <v>164</v>
      </c>
      <c r="P530">
        <v>363</v>
      </c>
      <c r="Q530">
        <v>0.45200000000000001</v>
      </c>
      <c r="R530">
        <v>0.50700000000000001</v>
      </c>
      <c r="S530">
        <v>44</v>
      </c>
      <c r="T530">
        <v>56</v>
      </c>
      <c r="U530">
        <v>0.78600000000000003</v>
      </c>
      <c r="V530">
        <v>32</v>
      </c>
      <c r="W530">
        <v>194</v>
      </c>
      <c r="X530">
        <v>226</v>
      </c>
      <c r="Y530">
        <v>86</v>
      </c>
      <c r="Z530">
        <v>53</v>
      </c>
      <c r="AA530">
        <v>25</v>
      </c>
      <c r="AB530">
        <v>69</v>
      </c>
      <c r="AC530">
        <v>136</v>
      </c>
      <c r="AD530">
        <v>807</v>
      </c>
    </row>
    <row r="531" spans="1:30" x14ac:dyDescent="0.3">
      <c r="A531">
        <v>394</v>
      </c>
      <c r="B531" t="s">
        <v>2390</v>
      </c>
      <c r="C531" t="s">
        <v>2004</v>
      </c>
      <c r="D531">
        <v>24</v>
      </c>
      <c r="E531" t="s">
        <v>1966</v>
      </c>
      <c r="F531">
        <v>22</v>
      </c>
      <c r="G531">
        <v>22</v>
      </c>
      <c r="H531">
        <v>692</v>
      </c>
      <c r="I531">
        <v>78</v>
      </c>
      <c r="J531">
        <v>219</v>
      </c>
      <c r="K531">
        <v>0.35599999999999998</v>
      </c>
      <c r="L531">
        <v>13</v>
      </c>
      <c r="M531">
        <v>51</v>
      </c>
      <c r="N531">
        <v>0.255</v>
      </c>
      <c r="O531">
        <v>65</v>
      </c>
      <c r="P531">
        <v>168</v>
      </c>
      <c r="Q531">
        <v>0.38700000000000001</v>
      </c>
      <c r="R531">
        <v>0.38600000000000001</v>
      </c>
      <c r="S531">
        <v>57</v>
      </c>
      <c r="T531">
        <v>71</v>
      </c>
      <c r="U531">
        <v>0.80300000000000005</v>
      </c>
      <c r="V531">
        <v>19</v>
      </c>
      <c r="W531">
        <v>106</v>
      </c>
      <c r="X531">
        <v>125</v>
      </c>
      <c r="Y531">
        <v>193</v>
      </c>
      <c r="Z531">
        <v>38</v>
      </c>
      <c r="AA531">
        <v>1</v>
      </c>
      <c r="AB531">
        <v>64</v>
      </c>
      <c r="AC531">
        <v>59</v>
      </c>
      <c r="AD531">
        <v>226</v>
      </c>
    </row>
    <row r="532" spans="1:30" x14ac:dyDescent="0.3">
      <c r="A532">
        <v>395</v>
      </c>
      <c r="B532" t="s">
        <v>2391</v>
      </c>
      <c r="C532" t="s">
        <v>1981</v>
      </c>
      <c r="D532">
        <v>28</v>
      </c>
      <c r="E532" t="s">
        <v>1978</v>
      </c>
      <c r="F532">
        <v>68</v>
      </c>
      <c r="G532">
        <v>2</v>
      </c>
      <c r="H532">
        <v>1047</v>
      </c>
      <c r="I532">
        <v>119</v>
      </c>
      <c r="J532">
        <v>263</v>
      </c>
      <c r="K532">
        <v>0.45200000000000001</v>
      </c>
      <c r="L532">
        <v>69</v>
      </c>
      <c r="M532">
        <v>170</v>
      </c>
      <c r="N532">
        <v>0.40600000000000003</v>
      </c>
      <c r="O532">
        <v>50</v>
      </c>
      <c r="P532">
        <v>93</v>
      </c>
      <c r="Q532">
        <v>0.53800000000000003</v>
      </c>
      <c r="R532">
        <v>0.58399999999999996</v>
      </c>
      <c r="S532">
        <v>16</v>
      </c>
      <c r="T532">
        <v>23</v>
      </c>
      <c r="U532">
        <v>0.69599999999999995</v>
      </c>
      <c r="V532">
        <v>8</v>
      </c>
      <c r="W532">
        <v>39</v>
      </c>
      <c r="X532">
        <v>47</v>
      </c>
      <c r="Y532">
        <v>53</v>
      </c>
      <c r="Z532">
        <v>16</v>
      </c>
      <c r="AA532">
        <v>5</v>
      </c>
      <c r="AB532">
        <v>47</v>
      </c>
      <c r="AC532">
        <v>79</v>
      </c>
      <c r="AD532">
        <v>323</v>
      </c>
    </row>
    <row r="533" spans="1:30" x14ac:dyDescent="0.3">
      <c r="A533">
        <v>396</v>
      </c>
      <c r="B533" t="s">
        <v>2392</v>
      </c>
      <c r="C533" t="s">
        <v>1961</v>
      </c>
      <c r="D533">
        <v>29</v>
      </c>
      <c r="E533" t="s">
        <v>2010</v>
      </c>
      <c r="F533">
        <v>33</v>
      </c>
      <c r="G533">
        <v>0</v>
      </c>
      <c r="H533">
        <v>271</v>
      </c>
      <c r="I533">
        <v>11</v>
      </c>
      <c r="J533">
        <v>54</v>
      </c>
      <c r="K533">
        <v>0.20399999999999999</v>
      </c>
      <c r="L533">
        <v>3</v>
      </c>
      <c r="M533">
        <v>27</v>
      </c>
      <c r="N533">
        <v>0.111</v>
      </c>
      <c r="O533">
        <v>8</v>
      </c>
      <c r="P533">
        <v>27</v>
      </c>
      <c r="Q533">
        <v>0.29599999999999999</v>
      </c>
      <c r="R533">
        <v>0.23100000000000001</v>
      </c>
      <c r="S533">
        <v>5</v>
      </c>
      <c r="T533">
        <v>11</v>
      </c>
      <c r="U533">
        <v>0.45500000000000002</v>
      </c>
      <c r="V533">
        <v>4</v>
      </c>
      <c r="W533">
        <v>37</v>
      </c>
      <c r="X533">
        <v>41</v>
      </c>
      <c r="Y533">
        <v>12</v>
      </c>
      <c r="Z533">
        <v>5</v>
      </c>
      <c r="AA533">
        <v>12</v>
      </c>
      <c r="AB533">
        <v>11</v>
      </c>
      <c r="AC533">
        <v>27</v>
      </c>
      <c r="AD533">
        <v>30</v>
      </c>
    </row>
    <row r="534" spans="1:30" x14ac:dyDescent="0.3">
      <c r="A534">
        <v>397</v>
      </c>
      <c r="B534" t="s">
        <v>2393</v>
      </c>
      <c r="C534" t="s">
        <v>213</v>
      </c>
      <c r="D534">
        <v>25</v>
      </c>
      <c r="E534" t="s">
        <v>2038</v>
      </c>
      <c r="F534">
        <v>67</v>
      </c>
      <c r="G534">
        <v>18</v>
      </c>
      <c r="H534">
        <v>1133</v>
      </c>
      <c r="I534">
        <v>126</v>
      </c>
      <c r="J534">
        <v>306</v>
      </c>
      <c r="K534">
        <v>0.41199999999999998</v>
      </c>
      <c r="L534">
        <v>0</v>
      </c>
      <c r="M534">
        <v>1</v>
      </c>
      <c r="N534">
        <v>0</v>
      </c>
      <c r="O534">
        <v>126</v>
      </c>
      <c r="P534">
        <v>305</v>
      </c>
      <c r="Q534">
        <v>0.41299999999999998</v>
      </c>
      <c r="R534">
        <v>0.41199999999999998</v>
      </c>
      <c r="S534">
        <v>55</v>
      </c>
      <c r="T534">
        <v>82</v>
      </c>
      <c r="U534">
        <v>0.67100000000000004</v>
      </c>
      <c r="V534">
        <v>89</v>
      </c>
      <c r="W534">
        <v>144</v>
      </c>
      <c r="X534">
        <v>233</v>
      </c>
      <c r="Y534">
        <v>55</v>
      </c>
      <c r="Z534">
        <v>28</v>
      </c>
      <c r="AA534">
        <v>43</v>
      </c>
      <c r="AB534">
        <v>36</v>
      </c>
      <c r="AC534">
        <v>121</v>
      </c>
      <c r="AD534">
        <v>307</v>
      </c>
    </row>
    <row r="535" spans="1:30" x14ac:dyDescent="0.3">
      <c r="A535">
        <v>398</v>
      </c>
      <c r="B535" t="s">
        <v>2394</v>
      </c>
      <c r="C535" t="s">
        <v>1981</v>
      </c>
      <c r="D535">
        <v>35</v>
      </c>
      <c r="E535" t="s">
        <v>1972</v>
      </c>
      <c r="F535">
        <v>21</v>
      </c>
      <c r="G535">
        <v>0</v>
      </c>
      <c r="H535">
        <v>270</v>
      </c>
      <c r="I535">
        <v>16</v>
      </c>
      <c r="J535">
        <v>48</v>
      </c>
      <c r="K535">
        <v>0.33300000000000002</v>
      </c>
      <c r="L535">
        <v>8</v>
      </c>
      <c r="M535">
        <v>26</v>
      </c>
      <c r="N535">
        <v>0.308</v>
      </c>
      <c r="O535">
        <v>8</v>
      </c>
      <c r="P535">
        <v>22</v>
      </c>
      <c r="Q535">
        <v>0.36399999999999999</v>
      </c>
      <c r="R535">
        <v>0.41699999999999998</v>
      </c>
      <c r="S535">
        <v>2</v>
      </c>
      <c r="T535">
        <v>4</v>
      </c>
      <c r="U535">
        <v>0.5</v>
      </c>
      <c r="V535">
        <v>4</v>
      </c>
      <c r="W535">
        <v>17</v>
      </c>
      <c r="X535">
        <v>21</v>
      </c>
      <c r="Y535">
        <v>13</v>
      </c>
      <c r="Z535">
        <v>9</v>
      </c>
      <c r="AA535">
        <v>4</v>
      </c>
      <c r="AB535">
        <v>5</v>
      </c>
      <c r="AC535">
        <v>25</v>
      </c>
      <c r="AD535">
        <v>42</v>
      </c>
    </row>
    <row r="536" spans="1:30" x14ac:dyDescent="0.3">
      <c r="A536">
        <v>399</v>
      </c>
      <c r="B536" t="s">
        <v>2395</v>
      </c>
      <c r="C536" t="s">
        <v>1981</v>
      </c>
      <c r="D536">
        <v>21</v>
      </c>
      <c r="E536" t="s">
        <v>1974</v>
      </c>
      <c r="F536">
        <v>74</v>
      </c>
      <c r="G536">
        <v>32</v>
      </c>
      <c r="H536">
        <v>1131</v>
      </c>
      <c r="I536">
        <v>146</v>
      </c>
      <c r="J536">
        <v>346</v>
      </c>
      <c r="K536">
        <v>0.42199999999999999</v>
      </c>
      <c r="L536">
        <v>31</v>
      </c>
      <c r="M536">
        <v>127</v>
      </c>
      <c r="N536">
        <v>0.24399999999999999</v>
      </c>
      <c r="O536">
        <v>115</v>
      </c>
      <c r="P536">
        <v>219</v>
      </c>
      <c r="Q536">
        <v>0.52500000000000002</v>
      </c>
      <c r="R536">
        <v>0.46700000000000003</v>
      </c>
      <c r="S536">
        <v>63</v>
      </c>
      <c r="T536">
        <v>94</v>
      </c>
      <c r="U536">
        <v>0.67</v>
      </c>
      <c r="V536">
        <v>35</v>
      </c>
      <c r="W536">
        <v>128</v>
      </c>
      <c r="X536">
        <v>163</v>
      </c>
      <c r="Y536">
        <v>77</v>
      </c>
      <c r="Z536">
        <v>38</v>
      </c>
      <c r="AA536">
        <v>26</v>
      </c>
      <c r="AB536">
        <v>76</v>
      </c>
      <c r="AC536">
        <v>135</v>
      </c>
      <c r="AD536">
        <v>386</v>
      </c>
    </row>
    <row r="537" spans="1:30" x14ac:dyDescent="0.3">
      <c r="A537">
        <v>400</v>
      </c>
      <c r="B537" t="s">
        <v>2396</v>
      </c>
      <c r="C537" t="s">
        <v>213</v>
      </c>
      <c r="D537">
        <v>26</v>
      </c>
      <c r="E537" t="s">
        <v>1993</v>
      </c>
      <c r="F537">
        <v>27</v>
      </c>
      <c r="G537">
        <v>26</v>
      </c>
      <c r="H537">
        <v>586</v>
      </c>
      <c r="I537">
        <v>86</v>
      </c>
      <c r="J537">
        <v>172</v>
      </c>
      <c r="K537">
        <v>0.5</v>
      </c>
      <c r="L537">
        <v>0</v>
      </c>
      <c r="M537">
        <v>0</v>
      </c>
      <c r="O537">
        <v>86</v>
      </c>
      <c r="P537">
        <v>172</v>
      </c>
      <c r="Q537">
        <v>0.5</v>
      </c>
      <c r="R537">
        <v>0.5</v>
      </c>
      <c r="S537">
        <v>24</v>
      </c>
      <c r="T537">
        <v>48</v>
      </c>
      <c r="U537">
        <v>0.5</v>
      </c>
      <c r="V537">
        <v>67</v>
      </c>
      <c r="W537">
        <v>99</v>
      </c>
      <c r="X537">
        <v>166</v>
      </c>
      <c r="Y537">
        <v>23</v>
      </c>
      <c r="Z537">
        <v>26</v>
      </c>
      <c r="AA537">
        <v>39</v>
      </c>
      <c r="AB537">
        <v>28</v>
      </c>
      <c r="AC537">
        <v>104</v>
      </c>
      <c r="AD537">
        <v>196</v>
      </c>
    </row>
    <row r="538" spans="1:30" x14ac:dyDescent="0.3">
      <c r="A538" t="s">
        <v>1929</v>
      </c>
      <c r="B538" t="s">
        <v>1930</v>
      </c>
      <c r="C538" t="s">
        <v>1931</v>
      </c>
      <c r="D538" t="s">
        <v>198</v>
      </c>
      <c r="E538" t="s">
        <v>1932</v>
      </c>
      <c r="F538" t="s">
        <v>1933</v>
      </c>
      <c r="G538" t="s">
        <v>1934</v>
      </c>
      <c r="H538" t="s">
        <v>1935</v>
      </c>
      <c r="I538" t="s">
        <v>1936</v>
      </c>
      <c r="J538" t="s">
        <v>1937</v>
      </c>
      <c r="K538" t="s">
        <v>1938</v>
      </c>
      <c r="L538" t="s">
        <v>1939</v>
      </c>
      <c r="M538" t="s">
        <v>1940</v>
      </c>
      <c r="N538" t="s">
        <v>1941</v>
      </c>
      <c r="O538" t="s">
        <v>1942</v>
      </c>
      <c r="P538" t="s">
        <v>1943</v>
      </c>
      <c r="Q538" t="s">
        <v>1944</v>
      </c>
      <c r="R538" t="s">
        <v>1945</v>
      </c>
      <c r="S538" t="s">
        <v>1946</v>
      </c>
      <c r="T538" t="s">
        <v>1947</v>
      </c>
      <c r="U538" t="s">
        <v>1948</v>
      </c>
      <c r="V538" t="s">
        <v>1949</v>
      </c>
      <c r="W538" t="s">
        <v>1950</v>
      </c>
      <c r="X538" t="s">
        <v>1951</v>
      </c>
      <c r="Y538" t="s">
        <v>1952</v>
      </c>
      <c r="Z538" t="s">
        <v>1953</v>
      </c>
      <c r="AA538" t="s">
        <v>1954</v>
      </c>
      <c r="AB538" t="s">
        <v>1955</v>
      </c>
      <c r="AC538" t="s">
        <v>1956</v>
      </c>
      <c r="AD538" t="s">
        <v>1957</v>
      </c>
    </row>
    <row r="539" spans="1:30" x14ac:dyDescent="0.3">
      <c r="A539">
        <v>401</v>
      </c>
      <c r="B539" t="s">
        <v>2397</v>
      </c>
      <c r="C539" t="s">
        <v>2004</v>
      </c>
      <c r="D539">
        <v>21</v>
      </c>
      <c r="E539" t="s">
        <v>1998</v>
      </c>
      <c r="F539">
        <v>77</v>
      </c>
      <c r="G539">
        <v>10</v>
      </c>
      <c r="H539">
        <v>1516</v>
      </c>
      <c r="I539">
        <v>284</v>
      </c>
      <c r="J539">
        <v>665</v>
      </c>
      <c r="K539">
        <v>0.42699999999999999</v>
      </c>
      <c r="L539">
        <v>52</v>
      </c>
      <c r="M539">
        <v>148</v>
      </c>
      <c r="N539">
        <v>0.35099999999999998</v>
      </c>
      <c r="O539">
        <v>232</v>
      </c>
      <c r="P539">
        <v>517</v>
      </c>
      <c r="Q539">
        <v>0.44900000000000001</v>
      </c>
      <c r="R539">
        <v>0.46600000000000003</v>
      </c>
      <c r="S539">
        <v>148</v>
      </c>
      <c r="T539">
        <v>179</v>
      </c>
      <c r="U539">
        <v>0.82699999999999996</v>
      </c>
      <c r="V539">
        <v>29</v>
      </c>
      <c r="W539">
        <v>135</v>
      </c>
      <c r="X539">
        <v>164</v>
      </c>
      <c r="Y539">
        <v>317</v>
      </c>
      <c r="Z539">
        <v>49</v>
      </c>
      <c r="AA539">
        <v>4</v>
      </c>
      <c r="AB539">
        <v>150</v>
      </c>
      <c r="AC539">
        <v>127</v>
      </c>
      <c r="AD539">
        <v>768</v>
      </c>
    </row>
    <row r="540" spans="1:30" x14ac:dyDescent="0.3">
      <c r="A540">
        <v>402</v>
      </c>
      <c r="B540" t="s">
        <v>2398</v>
      </c>
      <c r="C540" t="s">
        <v>1956</v>
      </c>
      <c r="D540">
        <v>34</v>
      </c>
      <c r="E540" t="s">
        <v>1978</v>
      </c>
      <c r="F540">
        <v>81</v>
      </c>
      <c r="G540">
        <v>16</v>
      </c>
      <c r="H540">
        <v>1659</v>
      </c>
      <c r="I540">
        <v>300</v>
      </c>
      <c r="J540">
        <v>642</v>
      </c>
      <c r="K540">
        <v>0.46700000000000003</v>
      </c>
      <c r="L540">
        <v>5</v>
      </c>
      <c r="M540">
        <v>20</v>
      </c>
      <c r="N540">
        <v>0.25</v>
      </c>
      <c r="O540">
        <v>295</v>
      </c>
      <c r="P540">
        <v>622</v>
      </c>
      <c r="Q540">
        <v>0.47399999999999998</v>
      </c>
      <c r="R540">
        <v>0.47099999999999997</v>
      </c>
      <c r="S540">
        <v>158</v>
      </c>
      <c r="T540">
        <v>226</v>
      </c>
      <c r="U540">
        <v>0.69899999999999995</v>
      </c>
      <c r="V540">
        <v>138</v>
      </c>
      <c r="W540">
        <v>388</v>
      </c>
      <c r="X540">
        <v>526</v>
      </c>
      <c r="Y540">
        <v>105</v>
      </c>
      <c r="Z540">
        <v>47</v>
      </c>
      <c r="AA540">
        <v>18</v>
      </c>
      <c r="AB540">
        <v>94</v>
      </c>
      <c r="AC540">
        <v>192</v>
      </c>
      <c r="AD540">
        <v>763</v>
      </c>
    </row>
    <row r="541" spans="1:30" x14ac:dyDescent="0.3">
      <c r="A541">
        <v>403</v>
      </c>
      <c r="B541" t="s">
        <v>2399</v>
      </c>
      <c r="C541" t="s">
        <v>1956</v>
      </c>
      <c r="D541">
        <v>26</v>
      </c>
      <c r="E541" t="s">
        <v>1998</v>
      </c>
      <c r="F541">
        <v>68</v>
      </c>
      <c r="G541">
        <v>0</v>
      </c>
      <c r="H541">
        <v>1123</v>
      </c>
      <c r="I541">
        <v>201</v>
      </c>
      <c r="J541">
        <v>453</v>
      </c>
      <c r="K541">
        <v>0.44400000000000001</v>
      </c>
      <c r="L541">
        <v>66</v>
      </c>
      <c r="M541">
        <v>192</v>
      </c>
      <c r="N541">
        <v>0.34399999999999997</v>
      </c>
      <c r="O541">
        <v>135</v>
      </c>
      <c r="P541">
        <v>261</v>
      </c>
      <c r="Q541">
        <v>0.51700000000000002</v>
      </c>
      <c r="R541">
        <v>0.51700000000000002</v>
      </c>
      <c r="S541">
        <v>61</v>
      </c>
      <c r="T541">
        <v>77</v>
      </c>
      <c r="U541">
        <v>0.79200000000000004</v>
      </c>
      <c r="V541">
        <v>45</v>
      </c>
      <c r="W541">
        <v>154</v>
      </c>
      <c r="X541">
        <v>199</v>
      </c>
      <c r="Y541">
        <v>75</v>
      </c>
      <c r="Z541">
        <v>25</v>
      </c>
      <c r="AA541">
        <v>3</v>
      </c>
      <c r="AB541">
        <v>39</v>
      </c>
      <c r="AC541">
        <v>83</v>
      </c>
      <c r="AD541">
        <v>529</v>
      </c>
    </row>
    <row r="542" spans="1:30" x14ac:dyDescent="0.3">
      <c r="A542">
        <v>404</v>
      </c>
      <c r="B542" t="s">
        <v>2400</v>
      </c>
      <c r="C542" t="s">
        <v>1981</v>
      </c>
      <c r="D542">
        <v>30</v>
      </c>
      <c r="E542" t="s">
        <v>1998</v>
      </c>
      <c r="F542">
        <v>52</v>
      </c>
      <c r="G542">
        <v>7</v>
      </c>
      <c r="H542">
        <v>976</v>
      </c>
      <c r="I542">
        <v>104</v>
      </c>
      <c r="J542">
        <v>249</v>
      </c>
      <c r="K542">
        <v>0.41799999999999998</v>
      </c>
      <c r="L542">
        <v>25</v>
      </c>
      <c r="M542">
        <v>78</v>
      </c>
      <c r="N542">
        <v>0.32100000000000001</v>
      </c>
      <c r="O542">
        <v>79</v>
      </c>
      <c r="P542">
        <v>171</v>
      </c>
      <c r="Q542">
        <v>0.46200000000000002</v>
      </c>
      <c r="R542">
        <v>0.46800000000000003</v>
      </c>
      <c r="S542">
        <v>45</v>
      </c>
      <c r="T542">
        <v>58</v>
      </c>
      <c r="U542">
        <v>0.77600000000000002</v>
      </c>
      <c r="V542">
        <v>53</v>
      </c>
      <c r="W542">
        <v>170</v>
      </c>
      <c r="X542">
        <v>223</v>
      </c>
      <c r="Y542">
        <v>75</v>
      </c>
      <c r="Z542">
        <v>53</v>
      </c>
      <c r="AA542">
        <v>21</v>
      </c>
      <c r="AB542">
        <v>38</v>
      </c>
      <c r="AC542">
        <v>67</v>
      </c>
      <c r="AD542">
        <v>278</v>
      </c>
    </row>
    <row r="543" spans="1:30" x14ac:dyDescent="0.3">
      <c r="A543">
        <v>405</v>
      </c>
      <c r="B543" t="s">
        <v>2401</v>
      </c>
      <c r="C543" t="s">
        <v>213</v>
      </c>
      <c r="D543">
        <v>25</v>
      </c>
      <c r="E543" t="s">
        <v>2026</v>
      </c>
      <c r="F543">
        <v>79</v>
      </c>
      <c r="G543">
        <v>0</v>
      </c>
      <c r="H543">
        <v>1235</v>
      </c>
      <c r="I543">
        <v>231</v>
      </c>
      <c r="J543">
        <v>450</v>
      </c>
      <c r="K543">
        <v>0.51300000000000001</v>
      </c>
      <c r="L543">
        <v>0</v>
      </c>
      <c r="M543">
        <v>2</v>
      </c>
      <c r="N543">
        <v>0</v>
      </c>
      <c r="O543">
        <v>231</v>
      </c>
      <c r="P543">
        <v>448</v>
      </c>
      <c r="Q543">
        <v>0.51600000000000001</v>
      </c>
      <c r="R543">
        <v>0.51300000000000001</v>
      </c>
      <c r="S543">
        <v>58</v>
      </c>
      <c r="T543">
        <v>82</v>
      </c>
      <c r="U543">
        <v>0.70699999999999996</v>
      </c>
      <c r="V543">
        <v>87</v>
      </c>
      <c r="W543">
        <v>201</v>
      </c>
      <c r="X543">
        <v>288</v>
      </c>
      <c r="Y543">
        <v>59</v>
      </c>
      <c r="Z543">
        <v>10</v>
      </c>
      <c r="AA543">
        <v>59</v>
      </c>
      <c r="AB543">
        <v>98</v>
      </c>
      <c r="AC543">
        <v>197</v>
      </c>
      <c r="AD543">
        <v>520</v>
      </c>
    </row>
    <row r="544" spans="1:30" x14ac:dyDescent="0.3">
      <c r="A544">
        <v>406</v>
      </c>
      <c r="B544" t="s">
        <v>2402</v>
      </c>
      <c r="C544" t="s">
        <v>2004</v>
      </c>
      <c r="D544">
        <v>28</v>
      </c>
      <c r="E544" t="s">
        <v>1968</v>
      </c>
      <c r="F544">
        <v>64</v>
      </c>
      <c r="G544">
        <v>10</v>
      </c>
      <c r="H544">
        <v>1188</v>
      </c>
      <c r="I544">
        <v>125</v>
      </c>
      <c r="J544">
        <v>334</v>
      </c>
      <c r="K544">
        <v>0.374</v>
      </c>
      <c r="L544">
        <v>19</v>
      </c>
      <c r="M544">
        <v>60</v>
      </c>
      <c r="N544">
        <v>0.317</v>
      </c>
      <c r="O544">
        <v>106</v>
      </c>
      <c r="P544">
        <v>274</v>
      </c>
      <c r="Q544">
        <v>0.38700000000000001</v>
      </c>
      <c r="R544">
        <v>0.40300000000000002</v>
      </c>
      <c r="S544">
        <v>133</v>
      </c>
      <c r="T544">
        <v>173</v>
      </c>
      <c r="U544">
        <v>0.76900000000000002</v>
      </c>
      <c r="V544">
        <v>23</v>
      </c>
      <c r="W544">
        <v>121</v>
      </c>
      <c r="X544">
        <v>144</v>
      </c>
      <c r="Y544">
        <v>182</v>
      </c>
      <c r="Z544">
        <v>29</v>
      </c>
      <c r="AA544">
        <v>0</v>
      </c>
      <c r="AB544">
        <v>86</v>
      </c>
      <c r="AC544">
        <v>73</v>
      </c>
      <c r="AD544">
        <v>402</v>
      </c>
    </row>
    <row r="545" spans="1:30" x14ac:dyDescent="0.3">
      <c r="A545">
        <v>406</v>
      </c>
      <c r="B545" t="s">
        <v>2402</v>
      </c>
      <c r="C545" t="s">
        <v>2004</v>
      </c>
      <c r="D545">
        <v>28</v>
      </c>
      <c r="E545" t="s">
        <v>2034</v>
      </c>
      <c r="F545">
        <v>36</v>
      </c>
      <c r="G545">
        <v>7</v>
      </c>
      <c r="H545">
        <v>642</v>
      </c>
      <c r="I545">
        <v>63</v>
      </c>
      <c r="J545">
        <v>183</v>
      </c>
      <c r="K545">
        <v>0.34399999999999997</v>
      </c>
      <c r="L545">
        <v>6</v>
      </c>
      <c r="M545">
        <v>28</v>
      </c>
      <c r="N545">
        <v>0.214</v>
      </c>
      <c r="O545">
        <v>57</v>
      </c>
      <c r="P545">
        <v>155</v>
      </c>
      <c r="Q545">
        <v>0.36799999999999999</v>
      </c>
      <c r="R545">
        <v>0.36099999999999999</v>
      </c>
      <c r="S545">
        <v>64</v>
      </c>
      <c r="T545">
        <v>88</v>
      </c>
      <c r="U545">
        <v>0.72699999999999998</v>
      </c>
      <c r="V545">
        <v>13</v>
      </c>
      <c r="W545">
        <v>56</v>
      </c>
      <c r="X545">
        <v>69</v>
      </c>
      <c r="Y545">
        <v>96</v>
      </c>
      <c r="Z545">
        <v>13</v>
      </c>
      <c r="AA545">
        <v>0</v>
      </c>
      <c r="AB545">
        <v>51</v>
      </c>
      <c r="AC545">
        <v>45</v>
      </c>
      <c r="AD545">
        <v>196</v>
      </c>
    </row>
    <row r="546" spans="1:30" x14ac:dyDescent="0.3">
      <c r="A546">
        <v>406</v>
      </c>
      <c r="B546" t="s">
        <v>2402</v>
      </c>
      <c r="C546" t="s">
        <v>2004</v>
      </c>
      <c r="D546">
        <v>28</v>
      </c>
      <c r="E546" t="s">
        <v>2026</v>
      </c>
      <c r="F546">
        <v>28</v>
      </c>
      <c r="G546">
        <v>3</v>
      </c>
      <c r="H546">
        <v>546</v>
      </c>
      <c r="I546">
        <v>62</v>
      </c>
      <c r="J546">
        <v>151</v>
      </c>
      <c r="K546">
        <v>0.41099999999999998</v>
      </c>
      <c r="L546">
        <v>13</v>
      </c>
      <c r="M546">
        <v>32</v>
      </c>
      <c r="N546">
        <v>0.40600000000000003</v>
      </c>
      <c r="O546">
        <v>49</v>
      </c>
      <c r="P546">
        <v>119</v>
      </c>
      <c r="Q546">
        <v>0.41199999999999998</v>
      </c>
      <c r="R546">
        <v>0.45400000000000001</v>
      </c>
      <c r="S546">
        <v>69</v>
      </c>
      <c r="T546">
        <v>85</v>
      </c>
      <c r="U546">
        <v>0.81200000000000006</v>
      </c>
      <c r="V546">
        <v>10</v>
      </c>
      <c r="W546">
        <v>65</v>
      </c>
      <c r="X546">
        <v>75</v>
      </c>
      <c r="Y546">
        <v>86</v>
      </c>
      <c r="Z546">
        <v>16</v>
      </c>
      <c r="AA546">
        <v>0</v>
      </c>
      <c r="AB546">
        <v>35</v>
      </c>
      <c r="AC546">
        <v>28</v>
      </c>
      <c r="AD546">
        <v>206</v>
      </c>
    </row>
    <row r="547" spans="1:30" x14ac:dyDescent="0.3">
      <c r="A547">
        <v>407</v>
      </c>
      <c r="B547" t="s">
        <v>2403</v>
      </c>
      <c r="C547" t="s">
        <v>1961</v>
      </c>
      <c r="D547">
        <v>24</v>
      </c>
      <c r="E547" t="s">
        <v>1968</v>
      </c>
      <c r="F547">
        <v>62</v>
      </c>
      <c r="G547">
        <v>25</v>
      </c>
      <c r="H547">
        <v>1545</v>
      </c>
      <c r="I547">
        <v>193</v>
      </c>
      <c r="J547">
        <v>471</v>
      </c>
      <c r="K547">
        <v>0.41</v>
      </c>
      <c r="L547">
        <v>67</v>
      </c>
      <c r="M547">
        <v>196</v>
      </c>
      <c r="N547">
        <v>0.34200000000000003</v>
      </c>
      <c r="O547">
        <v>126</v>
      </c>
      <c r="P547">
        <v>275</v>
      </c>
      <c r="Q547">
        <v>0.45800000000000002</v>
      </c>
      <c r="R547">
        <v>0.48099999999999998</v>
      </c>
      <c r="S547">
        <v>43</v>
      </c>
      <c r="T547">
        <v>64</v>
      </c>
      <c r="U547">
        <v>0.67200000000000004</v>
      </c>
      <c r="V547">
        <v>55</v>
      </c>
      <c r="W547">
        <v>169</v>
      </c>
      <c r="X547">
        <v>224</v>
      </c>
      <c r="Y547">
        <v>135</v>
      </c>
      <c r="Z547">
        <v>81</v>
      </c>
      <c r="AA547">
        <v>16</v>
      </c>
      <c r="AB547">
        <v>91</v>
      </c>
      <c r="AC547">
        <v>138</v>
      </c>
      <c r="AD547">
        <v>496</v>
      </c>
    </row>
    <row r="548" spans="1:30" x14ac:dyDescent="0.3">
      <c r="A548">
        <v>407</v>
      </c>
      <c r="B548" t="s">
        <v>2403</v>
      </c>
      <c r="C548" t="s">
        <v>1961</v>
      </c>
      <c r="D548">
        <v>24</v>
      </c>
      <c r="E548" t="s">
        <v>1959</v>
      </c>
      <c r="F548">
        <v>24</v>
      </c>
      <c r="G548">
        <v>24</v>
      </c>
      <c r="H548">
        <v>625</v>
      </c>
      <c r="I548">
        <v>88</v>
      </c>
      <c r="J548">
        <v>215</v>
      </c>
      <c r="K548">
        <v>0.40899999999999997</v>
      </c>
      <c r="L548">
        <v>23</v>
      </c>
      <c r="M548">
        <v>66</v>
      </c>
      <c r="N548">
        <v>0.34799999999999998</v>
      </c>
      <c r="O548">
        <v>65</v>
      </c>
      <c r="P548">
        <v>149</v>
      </c>
      <c r="Q548">
        <v>0.436</v>
      </c>
      <c r="R548">
        <v>0.46300000000000002</v>
      </c>
      <c r="S548">
        <v>25</v>
      </c>
      <c r="T548">
        <v>37</v>
      </c>
      <c r="U548">
        <v>0.67600000000000005</v>
      </c>
      <c r="V548">
        <v>22</v>
      </c>
      <c r="W548">
        <v>59</v>
      </c>
      <c r="X548">
        <v>81</v>
      </c>
      <c r="Y548">
        <v>78</v>
      </c>
      <c r="Z548">
        <v>30</v>
      </c>
      <c r="AA548">
        <v>3</v>
      </c>
      <c r="AB548">
        <v>42</v>
      </c>
      <c r="AC548">
        <v>67</v>
      </c>
      <c r="AD548">
        <v>224</v>
      </c>
    </row>
    <row r="549" spans="1:30" x14ac:dyDescent="0.3">
      <c r="A549">
        <v>407</v>
      </c>
      <c r="B549" t="s">
        <v>2403</v>
      </c>
      <c r="C549" t="s">
        <v>1961</v>
      </c>
      <c r="D549">
        <v>24</v>
      </c>
      <c r="E549" t="s">
        <v>1984</v>
      </c>
      <c r="F549">
        <v>38</v>
      </c>
      <c r="G549">
        <v>1</v>
      </c>
      <c r="H549">
        <v>920</v>
      </c>
      <c r="I549">
        <v>105</v>
      </c>
      <c r="J549">
        <v>256</v>
      </c>
      <c r="K549">
        <v>0.41</v>
      </c>
      <c r="L549">
        <v>44</v>
      </c>
      <c r="M549">
        <v>130</v>
      </c>
      <c r="N549">
        <v>0.33800000000000002</v>
      </c>
      <c r="O549">
        <v>61</v>
      </c>
      <c r="P549">
        <v>126</v>
      </c>
      <c r="Q549">
        <v>0.48399999999999999</v>
      </c>
      <c r="R549">
        <v>0.496</v>
      </c>
      <c r="S549">
        <v>18</v>
      </c>
      <c r="T549">
        <v>27</v>
      </c>
      <c r="U549">
        <v>0.66700000000000004</v>
      </c>
      <c r="V549">
        <v>33</v>
      </c>
      <c r="W549">
        <v>110</v>
      </c>
      <c r="X549">
        <v>143</v>
      </c>
      <c r="Y549">
        <v>57</v>
      </c>
      <c r="Z549">
        <v>51</v>
      </c>
      <c r="AA549">
        <v>13</v>
      </c>
      <c r="AB549">
        <v>49</v>
      </c>
      <c r="AC549">
        <v>71</v>
      </c>
      <c r="AD549">
        <v>272</v>
      </c>
    </row>
    <row r="550" spans="1:30" x14ac:dyDescent="0.3">
      <c r="A550">
        <v>408</v>
      </c>
      <c r="B550" t="s">
        <v>2404</v>
      </c>
      <c r="C550" t="s">
        <v>1961</v>
      </c>
      <c r="D550">
        <v>26</v>
      </c>
      <c r="E550" t="s">
        <v>1968</v>
      </c>
      <c r="F550">
        <v>42</v>
      </c>
      <c r="G550">
        <v>9</v>
      </c>
      <c r="H550">
        <v>767</v>
      </c>
      <c r="I550">
        <v>133</v>
      </c>
      <c r="J550">
        <v>335</v>
      </c>
      <c r="K550">
        <v>0.39700000000000002</v>
      </c>
      <c r="L550">
        <v>47</v>
      </c>
      <c r="M550">
        <v>139</v>
      </c>
      <c r="N550">
        <v>0.33800000000000002</v>
      </c>
      <c r="O550">
        <v>86</v>
      </c>
      <c r="P550">
        <v>196</v>
      </c>
      <c r="Q550">
        <v>0.439</v>
      </c>
      <c r="R550">
        <v>0.46700000000000003</v>
      </c>
      <c r="S550">
        <v>121</v>
      </c>
      <c r="T550">
        <v>150</v>
      </c>
      <c r="U550">
        <v>0.80700000000000005</v>
      </c>
      <c r="V550">
        <v>23</v>
      </c>
      <c r="W550">
        <v>76</v>
      </c>
      <c r="X550">
        <v>99</v>
      </c>
      <c r="Y550">
        <v>106</v>
      </c>
      <c r="Z550">
        <v>30</v>
      </c>
      <c r="AA550">
        <v>6</v>
      </c>
      <c r="AB550">
        <v>48</v>
      </c>
      <c r="AC550">
        <v>48</v>
      </c>
      <c r="AD550">
        <v>434</v>
      </c>
    </row>
    <row r="551" spans="1:30" x14ac:dyDescent="0.3">
      <c r="A551">
        <v>408</v>
      </c>
      <c r="B551" t="s">
        <v>2404</v>
      </c>
      <c r="C551" t="s">
        <v>1961</v>
      </c>
      <c r="D551">
        <v>26</v>
      </c>
      <c r="E551" t="s">
        <v>1974</v>
      </c>
      <c r="F551">
        <v>17</v>
      </c>
      <c r="G551">
        <v>0</v>
      </c>
      <c r="H551">
        <v>285</v>
      </c>
      <c r="I551">
        <v>52</v>
      </c>
      <c r="J551">
        <v>130</v>
      </c>
      <c r="K551">
        <v>0.4</v>
      </c>
      <c r="L551">
        <v>17</v>
      </c>
      <c r="M551">
        <v>57</v>
      </c>
      <c r="N551">
        <v>0.29799999999999999</v>
      </c>
      <c r="O551">
        <v>35</v>
      </c>
      <c r="P551">
        <v>73</v>
      </c>
      <c r="Q551">
        <v>0.47899999999999998</v>
      </c>
      <c r="R551">
        <v>0.46500000000000002</v>
      </c>
      <c r="S551">
        <v>48</v>
      </c>
      <c r="T551">
        <v>57</v>
      </c>
      <c r="U551">
        <v>0.84199999999999997</v>
      </c>
      <c r="V551">
        <v>8</v>
      </c>
      <c r="W551">
        <v>14</v>
      </c>
      <c r="X551">
        <v>22</v>
      </c>
      <c r="Y551">
        <v>46</v>
      </c>
      <c r="Z551">
        <v>14</v>
      </c>
      <c r="AA551">
        <v>1</v>
      </c>
      <c r="AB551">
        <v>18</v>
      </c>
      <c r="AC551">
        <v>21</v>
      </c>
      <c r="AD551">
        <v>169</v>
      </c>
    </row>
    <row r="552" spans="1:30" x14ac:dyDescent="0.3">
      <c r="A552">
        <v>408</v>
      </c>
      <c r="B552" t="s">
        <v>2404</v>
      </c>
      <c r="C552" t="s">
        <v>1961</v>
      </c>
      <c r="D552">
        <v>26</v>
      </c>
      <c r="E552" t="s">
        <v>2000</v>
      </c>
      <c r="F552">
        <v>9</v>
      </c>
      <c r="G552">
        <v>0</v>
      </c>
      <c r="H552">
        <v>59</v>
      </c>
      <c r="I552">
        <v>8</v>
      </c>
      <c r="J552">
        <v>24</v>
      </c>
      <c r="K552">
        <v>0.33300000000000002</v>
      </c>
      <c r="L552">
        <v>4</v>
      </c>
      <c r="M552">
        <v>12</v>
      </c>
      <c r="N552">
        <v>0.33300000000000002</v>
      </c>
      <c r="O552">
        <v>4</v>
      </c>
      <c r="P552">
        <v>12</v>
      </c>
      <c r="Q552">
        <v>0.33300000000000002</v>
      </c>
      <c r="R552">
        <v>0.41699999999999998</v>
      </c>
      <c r="S552">
        <v>9</v>
      </c>
      <c r="T552">
        <v>11</v>
      </c>
      <c r="U552">
        <v>0.81799999999999995</v>
      </c>
      <c r="V552">
        <v>1</v>
      </c>
      <c r="W552">
        <v>3</v>
      </c>
      <c r="X552">
        <v>4</v>
      </c>
      <c r="Y552">
        <v>3</v>
      </c>
      <c r="Z552">
        <v>1</v>
      </c>
      <c r="AA552">
        <v>0</v>
      </c>
      <c r="AB552">
        <v>5</v>
      </c>
      <c r="AC552">
        <v>2</v>
      </c>
      <c r="AD552">
        <v>29</v>
      </c>
    </row>
    <row r="553" spans="1:30" x14ac:dyDescent="0.3">
      <c r="A553">
        <v>408</v>
      </c>
      <c r="B553" t="s">
        <v>2404</v>
      </c>
      <c r="C553" t="s">
        <v>1961</v>
      </c>
      <c r="D553">
        <v>26</v>
      </c>
      <c r="E553" t="s">
        <v>1959</v>
      </c>
      <c r="F553">
        <v>16</v>
      </c>
      <c r="G553">
        <v>9</v>
      </c>
      <c r="H553">
        <v>423</v>
      </c>
      <c r="I553">
        <v>73</v>
      </c>
      <c r="J553">
        <v>181</v>
      </c>
      <c r="K553">
        <v>0.40300000000000002</v>
      </c>
      <c r="L553">
        <v>26</v>
      </c>
      <c r="M553">
        <v>70</v>
      </c>
      <c r="N553">
        <v>0.371</v>
      </c>
      <c r="O553">
        <v>47</v>
      </c>
      <c r="P553">
        <v>111</v>
      </c>
      <c r="Q553">
        <v>0.42299999999999999</v>
      </c>
      <c r="R553">
        <v>0.47499999999999998</v>
      </c>
      <c r="S553">
        <v>64</v>
      </c>
      <c r="T553">
        <v>82</v>
      </c>
      <c r="U553">
        <v>0.78</v>
      </c>
      <c r="V553">
        <v>14</v>
      </c>
      <c r="W553">
        <v>59</v>
      </c>
      <c r="X553">
        <v>73</v>
      </c>
      <c r="Y553">
        <v>57</v>
      </c>
      <c r="Z553">
        <v>15</v>
      </c>
      <c r="AA553">
        <v>5</v>
      </c>
      <c r="AB553">
        <v>25</v>
      </c>
      <c r="AC553">
        <v>25</v>
      </c>
      <c r="AD553">
        <v>236</v>
      </c>
    </row>
    <row r="554" spans="1:30" x14ac:dyDescent="0.3">
      <c r="A554">
        <v>409</v>
      </c>
      <c r="B554" t="s">
        <v>2405</v>
      </c>
      <c r="C554" t="s">
        <v>213</v>
      </c>
      <c r="D554">
        <v>24</v>
      </c>
      <c r="E554" t="s">
        <v>1974</v>
      </c>
      <c r="F554">
        <v>73</v>
      </c>
      <c r="G554">
        <v>32</v>
      </c>
      <c r="H554">
        <v>1399</v>
      </c>
      <c r="I554">
        <v>238</v>
      </c>
      <c r="J554">
        <v>502</v>
      </c>
      <c r="K554">
        <v>0.47399999999999998</v>
      </c>
      <c r="L554">
        <v>4</v>
      </c>
      <c r="M554">
        <v>22</v>
      </c>
      <c r="N554">
        <v>0.182</v>
      </c>
      <c r="O554">
        <v>234</v>
      </c>
      <c r="P554">
        <v>480</v>
      </c>
      <c r="Q554">
        <v>0.48799999999999999</v>
      </c>
      <c r="R554">
        <v>0.47799999999999998</v>
      </c>
      <c r="S554">
        <v>106</v>
      </c>
      <c r="T554">
        <v>137</v>
      </c>
      <c r="U554">
        <v>0.77400000000000002</v>
      </c>
      <c r="V554">
        <v>121</v>
      </c>
      <c r="W554">
        <v>238</v>
      </c>
      <c r="X554">
        <v>359</v>
      </c>
      <c r="Y554">
        <v>79</v>
      </c>
      <c r="Z554">
        <v>39</v>
      </c>
      <c r="AA554">
        <v>30</v>
      </c>
      <c r="AB554">
        <v>99</v>
      </c>
      <c r="AC554">
        <v>135</v>
      </c>
      <c r="AD554">
        <v>586</v>
      </c>
    </row>
    <row r="555" spans="1:30" x14ac:dyDescent="0.3">
      <c r="A555">
        <v>410</v>
      </c>
      <c r="B555" t="s">
        <v>2406</v>
      </c>
      <c r="C555" t="s">
        <v>1981</v>
      </c>
      <c r="D555">
        <v>26</v>
      </c>
      <c r="E555" t="s">
        <v>1968</v>
      </c>
      <c r="F555">
        <v>80</v>
      </c>
      <c r="G555">
        <v>58</v>
      </c>
      <c r="H555">
        <v>1743</v>
      </c>
      <c r="I555">
        <v>172</v>
      </c>
      <c r="J555">
        <v>446</v>
      </c>
      <c r="K555">
        <v>0.38600000000000001</v>
      </c>
      <c r="L555">
        <v>96</v>
      </c>
      <c r="M555">
        <v>241</v>
      </c>
      <c r="N555">
        <v>0.39800000000000002</v>
      </c>
      <c r="O555">
        <v>76</v>
      </c>
      <c r="P555">
        <v>205</v>
      </c>
      <c r="Q555">
        <v>0.371</v>
      </c>
      <c r="R555">
        <v>0.49299999999999999</v>
      </c>
      <c r="S555">
        <v>40</v>
      </c>
      <c r="T555">
        <v>52</v>
      </c>
      <c r="U555">
        <v>0.76900000000000002</v>
      </c>
      <c r="V555">
        <v>33</v>
      </c>
      <c r="W555">
        <v>161</v>
      </c>
      <c r="X555">
        <v>194</v>
      </c>
      <c r="Y555">
        <v>85</v>
      </c>
      <c r="Z555">
        <v>47</v>
      </c>
      <c r="AA555">
        <v>21</v>
      </c>
      <c r="AB555">
        <v>55</v>
      </c>
      <c r="AC555">
        <v>153</v>
      </c>
      <c r="AD555">
        <v>480</v>
      </c>
    </row>
    <row r="556" spans="1:30" x14ac:dyDescent="0.3">
      <c r="A556">
        <v>410</v>
      </c>
      <c r="B556" t="s">
        <v>2406</v>
      </c>
      <c r="C556" t="s">
        <v>1981</v>
      </c>
      <c r="D556">
        <v>26</v>
      </c>
      <c r="E556" t="s">
        <v>1996</v>
      </c>
      <c r="F556">
        <v>54</v>
      </c>
      <c r="G556">
        <v>40</v>
      </c>
      <c r="H556">
        <v>1287</v>
      </c>
      <c r="I556">
        <v>140</v>
      </c>
      <c r="J556">
        <v>350</v>
      </c>
      <c r="K556">
        <v>0.4</v>
      </c>
      <c r="L556">
        <v>76</v>
      </c>
      <c r="M556">
        <v>187</v>
      </c>
      <c r="N556">
        <v>0.40600000000000003</v>
      </c>
      <c r="O556">
        <v>64</v>
      </c>
      <c r="P556">
        <v>163</v>
      </c>
      <c r="Q556">
        <v>0.39300000000000002</v>
      </c>
      <c r="R556">
        <v>0.50900000000000001</v>
      </c>
      <c r="S556">
        <v>29</v>
      </c>
      <c r="T556">
        <v>36</v>
      </c>
      <c r="U556">
        <v>0.80600000000000005</v>
      </c>
      <c r="V556">
        <v>23</v>
      </c>
      <c r="W556">
        <v>116</v>
      </c>
      <c r="X556">
        <v>139</v>
      </c>
      <c r="Y556">
        <v>67</v>
      </c>
      <c r="Z556">
        <v>33</v>
      </c>
      <c r="AA556">
        <v>14</v>
      </c>
      <c r="AB556">
        <v>42</v>
      </c>
      <c r="AC556">
        <v>98</v>
      </c>
      <c r="AD556">
        <v>385</v>
      </c>
    </row>
    <row r="557" spans="1:30" x14ac:dyDescent="0.3">
      <c r="A557">
        <v>410</v>
      </c>
      <c r="B557" t="s">
        <v>2406</v>
      </c>
      <c r="C557" t="s">
        <v>1981</v>
      </c>
      <c r="D557">
        <v>26</v>
      </c>
      <c r="E557" t="s">
        <v>1964</v>
      </c>
      <c r="F557">
        <v>26</v>
      </c>
      <c r="G557">
        <v>18</v>
      </c>
      <c r="H557">
        <v>456</v>
      </c>
      <c r="I557">
        <v>32</v>
      </c>
      <c r="J557">
        <v>96</v>
      </c>
      <c r="K557">
        <v>0.33300000000000002</v>
      </c>
      <c r="L557">
        <v>20</v>
      </c>
      <c r="M557">
        <v>54</v>
      </c>
      <c r="N557">
        <v>0.37</v>
      </c>
      <c r="O557">
        <v>12</v>
      </c>
      <c r="P557">
        <v>42</v>
      </c>
      <c r="Q557">
        <v>0.28599999999999998</v>
      </c>
      <c r="R557">
        <v>0.438</v>
      </c>
      <c r="S557">
        <v>11</v>
      </c>
      <c r="T557">
        <v>16</v>
      </c>
      <c r="U557">
        <v>0.68799999999999994</v>
      </c>
      <c r="V557">
        <v>10</v>
      </c>
      <c r="W557">
        <v>45</v>
      </c>
      <c r="X557">
        <v>55</v>
      </c>
      <c r="Y557">
        <v>18</v>
      </c>
      <c r="Z557">
        <v>14</v>
      </c>
      <c r="AA557">
        <v>7</v>
      </c>
      <c r="AB557">
        <v>13</v>
      </c>
      <c r="AC557">
        <v>55</v>
      </c>
      <c r="AD557">
        <v>95</v>
      </c>
    </row>
    <row r="558" spans="1:30" x14ac:dyDescent="0.3">
      <c r="A558">
        <v>411</v>
      </c>
      <c r="B558" t="s">
        <v>2407</v>
      </c>
      <c r="C558" t="s">
        <v>2004</v>
      </c>
      <c r="D558">
        <v>27</v>
      </c>
      <c r="E558" t="s">
        <v>1978</v>
      </c>
      <c r="F558">
        <v>53</v>
      </c>
      <c r="G558">
        <v>21</v>
      </c>
      <c r="H558">
        <v>1107</v>
      </c>
      <c r="I558">
        <v>145</v>
      </c>
      <c r="J558">
        <v>355</v>
      </c>
      <c r="K558">
        <v>0.40799999999999997</v>
      </c>
      <c r="L558">
        <v>41</v>
      </c>
      <c r="M558">
        <v>131</v>
      </c>
      <c r="N558">
        <v>0.313</v>
      </c>
      <c r="O558">
        <v>104</v>
      </c>
      <c r="P558">
        <v>224</v>
      </c>
      <c r="Q558">
        <v>0.46400000000000002</v>
      </c>
      <c r="R558">
        <v>0.46600000000000003</v>
      </c>
      <c r="S558">
        <v>60</v>
      </c>
      <c r="T558">
        <v>77</v>
      </c>
      <c r="U558">
        <v>0.77900000000000003</v>
      </c>
      <c r="V558">
        <v>12</v>
      </c>
      <c r="W558">
        <v>131</v>
      </c>
      <c r="X558">
        <v>143</v>
      </c>
      <c r="Y558">
        <v>190</v>
      </c>
      <c r="Z558">
        <v>23</v>
      </c>
      <c r="AA558">
        <v>0</v>
      </c>
      <c r="AB558">
        <v>65</v>
      </c>
      <c r="AC558">
        <v>47</v>
      </c>
      <c r="AD558">
        <v>391</v>
      </c>
    </row>
    <row r="559" spans="1:30" x14ac:dyDescent="0.3">
      <c r="A559">
        <v>412</v>
      </c>
      <c r="B559" t="s">
        <v>2408</v>
      </c>
      <c r="C559" t="s">
        <v>2004</v>
      </c>
      <c r="D559">
        <v>20</v>
      </c>
      <c r="E559" t="s">
        <v>2020</v>
      </c>
      <c r="F559">
        <v>67</v>
      </c>
      <c r="G559">
        <v>38</v>
      </c>
      <c r="H559">
        <v>1808</v>
      </c>
      <c r="I559">
        <v>175</v>
      </c>
      <c r="J559">
        <v>477</v>
      </c>
      <c r="K559">
        <v>0.36699999999999999</v>
      </c>
      <c r="L559">
        <v>91</v>
      </c>
      <c r="M559">
        <v>272</v>
      </c>
      <c r="N559">
        <v>0.33500000000000002</v>
      </c>
      <c r="O559">
        <v>84</v>
      </c>
      <c r="P559">
        <v>205</v>
      </c>
      <c r="Q559">
        <v>0.41</v>
      </c>
      <c r="R559">
        <v>0.46200000000000002</v>
      </c>
      <c r="S559">
        <v>82</v>
      </c>
      <c r="T559">
        <v>127</v>
      </c>
      <c r="U559">
        <v>0.64600000000000002</v>
      </c>
      <c r="V559">
        <v>61</v>
      </c>
      <c r="W559">
        <v>161</v>
      </c>
      <c r="X559">
        <v>222</v>
      </c>
      <c r="Y559">
        <v>208</v>
      </c>
      <c r="Z559">
        <v>99</v>
      </c>
      <c r="AA559">
        <v>18</v>
      </c>
      <c r="AB559">
        <v>90</v>
      </c>
      <c r="AC559">
        <v>176</v>
      </c>
      <c r="AD559">
        <v>523</v>
      </c>
    </row>
    <row r="560" spans="1:30" x14ac:dyDescent="0.3">
      <c r="A560">
        <v>413</v>
      </c>
      <c r="B560" t="s">
        <v>2409</v>
      </c>
      <c r="C560" t="s">
        <v>1956</v>
      </c>
      <c r="D560">
        <v>24</v>
      </c>
      <c r="E560" t="s">
        <v>1982</v>
      </c>
      <c r="F560">
        <v>42</v>
      </c>
      <c r="G560">
        <v>2</v>
      </c>
      <c r="H560">
        <v>363</v>
      </c>
      <c r="I560">
        <v>30</v>
      </c>
      <c r="J560">
        <v>49</v>
      </c>
      <c r="K560">
        <v>0.61199999999999999</v>
      </c>
      <c r="L560">
        <v>0</v>
      </c>
      <c r="M560">
        <v>0</v>
      </c>
      <c r="O560">
        <v>30</v>
      </c>
      <c r="P560">
        <v>49</v>
      </c>
      <c r="Q560">
        <v>0.61199999999999999</v>
      </c>
      <c r="R560">
        <v>0.61199999999999999</v>
      </c>
      <c r="S560">
        <v>20</v>
      </c>
      <c r="T560">
        <v>39</v>
      </c>
      <c r="U560">
        <v>0.51300000000000001</v>
      </c>
      <c r="V560">
        <v>26</v>
      </c>
      <c r="W560">
        <v>53</v>
      </c>
      <c r="X560">
        <v>79</v>
      </c>
      <c r="Y560">
        <v>9</v>
      </c>
      <c r="Z560">
        <v>7</v>
      </c>
      <c r="AA560">
        <v>11</v>
      </c>
      <c r="AB560">
        <v>11</v>
      </c>
      <c r="AC560">
        <v>53</v>
      </c>
      <c r="AD560">
        <v>80</v>
      </c>
    </row>
    <row r="561" spans="1:30" x14ac:dyDescent="0.3">
      <c r="A561">
        <v>414</v>
      </c>
      <c r="B561" t="s">
        <v>2410</v>
      </c>
      <c r="C561" t="s">
        <v>2004</v>
      </c>
      <c r="D561">
        <v>26</v>
      </c>
      <c r="E561" t="s">
        <v>1968</v>
      </c>
      <c r="F561">
        <v>55</v>
      </c>
      <c r="G561">
        <v>14</v>
      </c>
      <c r="H561">
        <v>832</v>
      </c>
      <c r="I561">
        <v>143</v>
      </c>
      <c r="J561">
        <v>367</v>
      </c>
      <c r="K561">
        <v>0.39</v>
      </c>
      <c r="L561">
        <v>18</v>
      </c>
      <c r="M561">
        <v>60</v>
      </c>
      <c r="N561">
        <v>0.3</v>
      </c>
      <c r="O561">
        <v>125</v>
      </c>
      <c r="P561">
        <v>307</v>
      </c>
      <c r="Q561">
        <v>0.40699999999999997</v>
      </c>
      <c r="R561">
        <v>0.41399999999999998</v>
      </c>
      <c r="S561">
        <v>34</v>
      </c>
      <c r="T561">
        <v>57</v>
      </c>
      <c r="U561">
        <v>0.59599999999999997</v>
      </c>
      <c r="V561">
        <v>15</v>
      </c>
      <c r="W561">
        <v>85</v>
      </c>
      <c r="X561">
        <v>100</v>
      </c>
      <c r="Y561">
        <v>180</v>
      </c>
      <c r="Z561">
        <v>36</v>
      </c>
      <c r="AA561">
        <v>6</v>
      </c>
      <c r="AB561">
        <v>78</v>
      </c>
      <c r="AC561">
        <v>50</v>
      </c>
      <c r="AD561">
        <v>338</v>
      </c>
    </row>
    <row r="562" spans="1:30" x14ac:dyDescent="0.3">
      <c r="A562">
        <v>414</v>
      </c>
      <c r="B562" t="s">
        <v>2410</v>
      </c>
      <c r="C562" t="s">
        <v>2004</v>
      </c>
      <c r="D562">
        <v>26</v>
      </c>
      <c r="E562" t="s">
        <v>1964</v>
      </c>
      <c r="F562">
        <v>30</v>
      </c>
      <c r="G562">
        <v>0</v>
      </c>
      <c r="H562">
        <v>155</v>
      </c>
      <c r="I562">
        <v>15</v>
      </c>
      <c r="J562">
        <v>45</v>
      </c>
      <c r="K562">
        <v>0.33300000000000002</v>
      </c>
      <c r="L562">
        <v>1</v>
      </c>
      <c r="M562">
        <v>5</v>
      </c>
      <c r="N562">
        <v>0.2</v>
      </c>
      <c r="O562">
        <v>14</v>
      </c>
      <c r="P562">
        <v>40</v>
      </c>
      <c r="Q562">
        <v>0.35</v>
      </c>
      <c r="R562">
        <v>0.34399999999999997</v>
      </c>
      <c r="S562">
        <v>6</v>
      </c>
      <c r="T562">
        <v>9</v>
      </c>
      <c r="U562">
        <v>0.66700000000000004</v>
      </c>
      <c r="V562">
        <v>5</v>
      </c>
      <c r="W562">
        <v>22</v>
      </c>
      <c r="X562">
        <v>27</v>
      </c>
      <c r="Y562">
        <v>28</v>
      </c>
      <c r="Z562">
        <v>4</v>
      </c>
      <c r="AA562">
        <v>1</v>
      </c>
      <c r="AB562">
        <v>9</v>
      </c>
      <c r="AC562">
        <v>12</v>
      </c>
      <c r="AD562">
        <v>37</v>
      </c>
    </row>
    <row r="563" spans="1:30" x14ac:dyDescent="0.3">
      <c r="A563">
        <v>414</v>
      </c>
      <c r="B563" t="s">
        <v>2410</v>
      </c>
      <c r="C563" t="s">
        <v>2004</v>
      </c>
      <c r="D563">
        <v>26</v>
      </c>
      <c r="E563" t="s">
        <v>1974</v>
      </c>
      <c r="F563">
        <v>25</v>
      </c>
      <c r="G563">
        <v>14</v>
      </c>
      <c r="H563">
        <v>677</v>
      </c>
      <c r="I563">
        <v>128</v>
      </c>
      <c r="J563">
        <v>322</v>
      </c>
      <c r="K563">
        <v>0.39800000000000002</v>
      </c>
      <c r="L563">
        <v>17</v>
      </c>
      <c r="M563">
        <v>55</v>
      </c>
      <c r="N563">
        <v>0.309</v>
      </c>
      <c r="O563">
        <v>111</v>
      </c>
      <c r="P563">
        <v>267</v>
      </c>
      <c r="Q563">
        <v>0.41599999999999998</v>
      </c>
      <c r="R563">
        <v>0.42399999999999999</v>
      </c>
      <c r="S563">
        <v>28</v>
      </c>
      <c r="T563">
        <v>48</v>
      </c>
      <c r="U563">
        <v>0.58299999999999996</v>
      </c>
      <c r="V563">
        <v>10</v>
      </c>
      <c r="W563">
        <v>63</v>
      </c>
      <c r="X563">
        <v>73</v>
      </c>
      <c r="Y563">
        <v>152</v>
      </c>
      <c r="Z563">
        <v>32</v>
      </c>
      <c r="AA563">
        <v>5</v>
      </c>
      <c r="AB563">
        <v>69</v>
      </c>
      <c r="AC563">
        <v>38</v>
      </c>
      <c r="AD563">
        <v>301</v>
      </c>
    </row>
    <row r="564" spans="1:30" x14ac:dyDescent="0.3">
      <c r="A564">
        <v>415</v>
      </c>
      <c r="B564" t="s">
        <v>2411</v>
      </c>
      <c r="C564" t="s">
        <v>1961</v>
      </c>
      <c r="D564">
        <v>29</v>
      </c>
      <c r="E564" t="s">
        <v>1968</v>
      </c>
      <c r="F564">
        <v>70</v>
      </c>
      <c r="G564">
        <v>51</v>
      </c>
      <c r="H564">
        <v>2080</v>
      </c>
      <c r="I564">
        <v>315</v>
      </c>
      <c r="J564">
        <v>755</v>
      </c>
      <c r="K564">
        <v>0.41699999999999998</v>
      </c>
      <c r="L564">
        <v>163</v>
      </c>
      <c r="M564">
        <v>426</v>
      </c>
      <c r="N564">
        <v>0.38300000000000001</v>
      </c>
      <c r="O564">
        <v>152</v>
      </c>
      <c r="P564">
        <v>329</v>
      </c>
      <c r="Q564">
        <v>0.46200000000000002</v>
      </c>
      <c r="R564">
        <v>0.52500000000000002</v>
      </c>
      <c r="S564">
        <v>54</v>
      </c>
      <c r="T564">
        <v>72</v>
      </c>
      <c r="U564">
        <v>0.75</v>
      </c>
      <c r="V564">
        <v>30</v>
      </c>
      <c r="W564">
        <v>188</v>
      </c>
      <c r="X564">
        <v>218</v>
      </c>
      <c r="Y564">
        <v>195</v>
      </c>
      <c r="Z564">
        <v>82</v>
      </c>
      <c r="AA564">
        <v>22</v>
      </c>
      <c r="AB564">
        <v>97</v>
      </c>
      <c r="AC564">
        <v>163</v>
      </c>
      <c r="AD564">
        <v>847</v>
      </c>
    </row>
    <row r="565" spans="1:30" x14ac:dyDescent="0.3">
      <c r="A565">
        <v>415</v>
      </c>
      <c r="B565" t="s">
        <v>2411</v>
      </c>
      <c r="C565" t="s">
        <v>1961</v>
      </c>
      <c r="D565">
        <v>29</v>
      </c>
      <c r="E565" t="s">
        <v>1959</v>
      </c>
      <c r="F565">
        <v>24</v>
      </c>
      <c r="G565">
        <v>6</v>
      </c>
      <c r="H565">
        <v>619</v>
      </c>
      <c r="I565">
        <v>101</v>
      </c>
      <c r="J565">
        <v>251</v>
      </c>
      <c r="K565">
        <v>0.40200000000000002</v>
      </c>
      <c r="L565">
        <v>32</v>
      </c>
      <c r="M565">
        <v>90</v>
      </c>
      <c r="N565">
        <v>0.35599999999999998</v>
      </c>
      <c r="O565">
        <v>69</v>
      </c>
      <c r="P565">
        <v>161</v>
      </c>
      <c r="Q565">
        <v>0.42899999999999999</v>
      </c>
      <c r="R565">
        <v>0.46600000000000003</v>
      </c>
      <c r="S565">
        <v>27</v>
      </c>
      <c r="T565">
        <v>39</v>
      </c>
      <c r="U565">
        <v>0.69199999999999995</v>
      </c>
      <c r="V565">
        <v>4</v>
      </c>
      <c r="W565">
        <v>54</v>
      </c>
      <c r="X565">
        <v>58</v>
      </c>
      <c r="Y565">
        <v>81</v>
      </c>
      <c r="Z565">
        <v>18</v>
      </c>
      <c r="AA565">
        <v>4</v>
      </c>
      <c r="AB565">
        <v>45</v>
      </c>
      <c r="AC565">
        <v>44</v>
      </c>
      <c r="AD565">
        <v>261</v>
      </c>
    </row>
    <row r="566" spans="1:30" x14ac:dyDescent="0.3">
      <c r="A566">
        <v>415</v>
      </c>
      <c r="B566" t="s">
        <v>2411</v>
      </c>
      <c r="C566" t="s">
        <v>1961</v>
      </c>
      <c r="D566">
        <v>29</v>
      </c>
      <c r="E566" t="s">
        <v>1984</v>
      </c>
      <c r="F566">
        <v>46</v>
      </c>
      <c r="G566">
        <v>45</v>
      </c>
      <c r="H566">
        <v>1461</v>
      </c>
      <c r="I566">
        <v>214</v>
      </c>
      <c r="J566">
        <v>504</v>
      </c>
      <c r="K566">
        <v>0.42499999999999999</v>
      </c>
      <c r="L566">
        <v>131</v>
      </c>
      <c r="M566">
        <v>336</v>
      </c>
      <c r="N566">
        <v>0.39</v>
      </c>
      <c r="O566">
        <v>83</v>
      </c>
      <c r="P566">
        <v>168</v>
      </c>
      <c r="Q566">
        <v>0.49399999999999999</v>
      </c>
      <c r="R566">
        <v>0.55500000000000005</v>
      </c>
      <c r="S566">
        <v>27</v>
      </c>
      <c r="T566">
        <v>33</v>
      </c>
      <c r="U566">
        <v>0.81799999999999995</v>
      </c>
      <c r="V566">
        <v>26</v>
      </c>
      <c r="W566">
        <v>134</v>
      </c>
      <c r="X566">
        <v>160</v>
      </c>
      <c r="Y566">
        <v>114</v>
      </c>
      <c r="Z566">
        <v>64</v>
      </c>
      <c r="AA566">
        <v>18</v>
      </c>
      <c r="AB566">
        <v>52</v>
      </c>
      <c r="AC566">
        <v>119</v>
      </c>
      <c r="AD566">
        <v>586</v>
      </c>
    </row>
    <row r="567" spans="1:30" x14ac:dyDescent="0.3">
      <c r="A567">
        <v>416</v>
      </c>
      <c r="B567" t="s">
        <v>2412</v>
      </c>
      <c r="C567" t="s">
        <v>213</v>
      </c>
      <c r="D567">
        <v>28</v>
      </c>
      <c r="E567" t="s">
        <v>1959</v>
      </c>
      <c r="F567">
        <v>82</v>
      </c>
      <c r="G567">
        <v>31</v>
      </c>
      <c r="H567">
        <v>1785</v>
      </c>
      <c r="I567">
        <v>257</v>
      </c>
      <c r="J567">
        <v>592</v>
      </c>
      <c r="K567">
        <v>0.434</v>
      </c>
      <c r="L567">
        <v>15</v>
      </c>
      <c r="M567">
        <v>42</v>
      </c>
      <c r="N567">
        <v>0.35699999999999998</v>
      </c>
      <c r="O567">
        <v>242</v>
      </c>
      <c r="P567">
        <v>550</v>
      </c>
      <c r="Q567">
        <v>0.44</v>
      </c>
      <c r="R567">
        <v>0.44700000000000001</v>
      </c>
      <c r="S567">
        <v>127</v>
      </c>
      <c r="T567">
        <v>153</v>
      </c>
      <c r="U567">
        <v>0.83</v>
      </c>
      <c r="V567">
        <v>98</v>
      </c>
      <c r="W567">
        <v>226</v>
      </c>
      <c r="X567">
        <v>324</v>
      </c>
      <c r="Y567">
        <v>140</v>
      </c>
      <c r="Z567">
        <v>32</v>
      </c>
      <c r="AA567">
        <v>44</v>
      </c>
      <c r="AB567">
        <v>104</v>
      </c>
      <c r="AC567">
        <v>205</v>
      </c>
      <c r="AD567">
        <v>656</v>
      </c>
    </row>
    <row r="568" spans="1:30" x14ac:dyDescent="0.3">
      <c r="A568">
        <v>417</v>
      </c>
      <c r="B568" t="s">
        <v>2413</v>
      </c>
      <c r="C568" t="s">
        <v>1956</v>
      </c>
      <c r="D568">
        <v>29</v>
      </c>
      <c r="E568" t="s">
        <v>1968</v>
      </c>
      <c r="F568">
        <v>83</v>
      </c>
      <c r="G568">
        <v>35</v>
      </c>
      <c r="H568">
        <v>2300</v>
      </c>
      <c r="I568">
        <v>414</v>
      </c>
      <c r="J568">
        <v>987</v>
      </c>
      <c r="K568">
        <v>0.41899999999999998</v>
      </c>
      <c r="L568">
        <v>72</v>
      </c>
      <c r="M568">
        <v>228</v>
      </c>
      <c r="N568">
        <v>0.316</v>
      </c>
      <c r="O568">
        <v>342</v>
      </c>
      <c r="P568">
        <v>759</v>
      </c>
      <c r="Q568">
        <v>0.45100000000000001</v>
      </c>
      <c r="R568">
        <v>0.45600000000000002</v>
      </c>
      <c r="S568">
        <v>127</v>
      </c>
      <c r="T568">
        <v>255</v>
      </c>
      <c r="U568">
        <v>0.498</v>
      </c>
      <c r="V568">
        <v>152</v>
      </c>
      <c r="W568">
        <v>378</v>
      </c>
      <c r="X568">
        <v>530</v>
      </c>
      <c r="Y568">
        <v>277</v>
      </c>
      <c r="Z568">
        <v>87</v>
      </c>
      <c r="AA568">
        <v>116</v>
      </c>
      <c r="AB568">
        <v>206</v>
      </c>
      <c r="AC568">
        <v>228</v>
      </c>
      <c r="AD568">
        <v>1027</v>
      </c>
    </row>
    <row r="569" spans="1:30" x14ac:dyDescent="0.3">
      <c r="A569">
        <v>417</v>
      </c>
      <c r="B569" t="s">
        <v>2413</v>
      </c>
      <c r="C569" t="s">
        <v>1956</v>
      </c>
      <c r="D569">
        <v>29</v>
      </c>
      <c r="E569" t="s">
        <v>1996</v>
      </c>
      <c r="F569">
        <v>28</v>
      </c>
      <c r="G569">
        <v>28</v>
      </c>
      <c r="H569">
        <v>896</v>
      </c>
      <c r="I569">
        <v>153</v>
      </c>
      <c r="J569">
        <v>391</v>
      </c>
      <c r="K569">
        <v>0.39100000000000001</v>
      </c>
      <c r="L569">
        <v>9</v>
      </c>
      <c r="M569">
        <v>37</v>
      </c>
      <c r="N569">
        <v>0.24299999999999999</v>
      </c>
      <c r="O569">
        <v>144</v>
      </c>
      <c r="P569">
        <v>354</v>
      </c>
      <c r="Q569">
        <v>0.40699999999999997</v>
      </c>
      <c r="R569">
        <v>0.40300000000000002</v>
      </c>
      <c r="S569">
        <v>52</v>
      </c>
      <c r="T569">
        <v>111</v>
      </c>
      <c r="U569">
        <v>0.46800000000000003</v>
      </c>
      <c r="V569">
        <v>52</v>
      </c>
      <c r="W569">
        <v>150</v>
      </c>
      <c r="X569">
        <v>202</v>
      </c>
      <c r="Y569">
        <v>132</v>
      </c>
      <c r="Z569">
        <v>37</v>
      </c>
      <c r="AA569">
        <v>48</v>
      </c>
      <c r="AB569">
        <v>72</v>
      </c>
      <c r="AC569">
        <v>82</v>
      </c>
      <c r="AD569">
        <v>367</v>
      </c>
    </row>
    <row r="570" spans="1:30" x14ac:dyDescent="0.3">
      <c r="A570">
        <v>417</v>
      </c>
      <c r="B570" t="s">
        <v>2413</v>
      </c>
      <c r="C570" t="s">
        <v>1956</v>
      </c>
      <c r="D570">
        <v>29</v>
      </c>
      <c r="E570" t="s">
        <v>2000</v>
      </c>
      <c r="F570">
        <v>55</v>
      </c>
      <c r="G570">
        <v>7</v>
      </c>
      <c r="H570">
        <v>1404</v>
      </c>
      <c r="I570">
        <v>261</v>
      </c>
      <c r="J570">
        <v>596</v>
      </c>
      <c r="K570">
        <v>0.438</v>
      </c>
      <c r="L570">
        <v>63</v>
      </c>
      <c r="M570">
        <v>191</v>
      </c>
      <c r="N570">
        <v>0.33</v>
      </c>
      <c r="O570">
        <v>198</v>
      </c>
      <c r="P570">
        <v>405</v>
      </c>
      <c r="Q570">
        <v>0.48899999999999999</v>
      </c>
      <c r="R570">
        <v>0.49099999999999999</v>
      </c>
      <c r="S570">
        <v>75</v>
      </c>
      <c r="T570">
        <v>144</v>
      </c>
      <c r="U570">
        <v>0.52100000000000002</v>
      </c>
      <c r="V570">
        <v>100</v>
      </c>
      <c r="W570">
        <v>228</v>
      </c>
      <c r="X570">
        <v>328</v>
      </c>
      <c r="Y570">
        <v>145</v>
      </c>
      <c r="Z570">
        <v>50</v>
      </c>
      <c r="AA570">
        <v>68</v>
      </c>
      <c r="AB570">
        <v>134</v>
      </c>
      <c r="AC570">
        <v>146</v>
      </c>
      <c r="AD570">
        <v>660</v>
      </c>
    </row>
    <row r="571" spans="1:30" x14ac:dyDescent="0.3">
      <c r="A571">
        <v>418</v>
      </c>
      <c r="B571" t="s">
        <v>2414</v>
      </c>
      <c r="C571" t="s">
        <v>2004</v>
      </c>
      <c r="D571">
        <v>23</v>
      </c>
      <c r="E571" t="s">
        <v>1968</v>
      </c>
      <c r="F571">
        <v>12</v>
      </c>
      <c r="G571">
        <v>0</v>
      </c>
      <c r="H571">
        <v>65</v>
      </c>
      <c r="I571">
        <v>8</v>
      </c>
      <c r="J571">
        <v>25</v>
      </c>
      <c r="K571">
        <v>0.32</v>
      </c>
      <c r="L571">
        <v>2</v>
      </c>
      <c r="M571">
        <v>11</v>
      </c>
      <c r="N571">
        <v>0.182</v>
      </c>
      <c r="O571">
        <v>6</v>
      </c>
      <c r="P571">
        <v>14</v>
      </c>
      <c r="Q571">
        <v>0.42899999999999999</v>
      </c>
      <c r="R571">
        <v>0.36</v>
      </c>
      <c r="S571">
        <v>12</v>
      </c>
      <c r="T571">
        <v>13</v>
      </c>
      <c r="U571">
        <v>0.92300000000000004</v>
      </c>
      <c r="V571">
        <v>1</v>
      </c>
      <c r="W571">
        <v>5</v>
      </c>
      <c r="X571">
        <v>6</v>
      </c>
      <c r="Y571">
        <v>8</v>
      </c>
      <c r="Z571">
        <v>3</v>
      </c>
      <c r="AA571">
        <v>0</v>
      </c>
      <c r="AB571">
        <v>12</v>
      </c>
      <c r="AC571">
        <v>13</v>
      </c>
      <c r="AD571">
        <v>30</v>
      </c>
    </row>
    <row r="572" spans="1:30" x14ac:dyDescent="0.3">
      <c r="A572">
        <v>418</v>
      </c>
      <c r="B572" t="s">
        <v>2414</v>
      </c>
      <c r="C572" t="s">
        <v>2004</v>
      </c>
      <c r="D572">
        <v>23</v>
      </c>
      <c r="E572" t="s">
        <v>1972</v>
      </c>
      <c r="F572">
        <v>6</v>
      </c>
      <c r="G572">
        <v>0</v>
      </c>
      <c r="H572">
        <v>29</v>
      </c>
      <c r="I572">
        <v>2</v>
      </c>
      <c r="J572">
        <v>10</v>
      </c>
      <c r="K572">
        <v>0.2</v>
      </c>
      <c r="L572">
        <v>1</v>
      </c>
      <c r="M572">
        <v>6</v>
      </c>
      <c r="N572">
        <v>0.16700000000000001</v>
      </c>
      <c r="O572">
        <v>1</v>
      </c>
      <c r="P572">
        <v>4</v>
      </c>
      <c r="Q572">
        <v>0.25</v>
      </c>
      <c r="R572">
        <v>0.25</v>
      </c>
      <c r="S572">
        <v>0</v>
      </c>
      <c r="T572">
        <v>0</v>
      </c>
      <c r="V572">
        <v>0</v>
      </c>
      <c r="W572">
        <v>3</v>
      </c>
      <c r="X572">
        <v>3</v>
      </c>
      <c r="Y572">
        <v>2</v>
      </c>
      <c r="Z572">
        <v>0</v>
      </c>
      <c r="AA572">
        <v>0</v>
      </c>
      <c r="AB572">
        <v>7</v>
      </c>
      <c r="AC572">
        <v>6</v>
      </c>
      <c r="AD572">
        <v>5</v>
      </c>
    </row>
    <row r="573" spans="1:30" x14ac:dyDescent="0.3">
      <c r="A573">
        <v>418</v>
      </c>
      <c r="B573" t="s">
        <v>2414</v>
      </c>
      <c r="C573" t="s">
        <v>2004</v>
      </c>
      <c r="D573">
        <v>23</v>
      </c>
      <c r="E573" t="s">
        <v>1962</v>
      </c>
      <c r="F573">
        <v>6</v>
      </c>
      <c r="G573">
        <v>0</v>
      </c>
      <c r="H573">
        <v>36</v>
      </c>
      <c r="I573">
        <v>6</v>
      </c>
      <c r="J573">
        <v>15</v>
      </c>
      <c r="K573">
        <v>0.4</v>
      </c>
      <c r="L573">
        <v>1</v>
      </c>
      <c r="M573">
        <v>5</v>
      </c>
      <c r="N573">
        <v>0.2</v>
      </c>
      <c r="O573">
        <v>5</v>
      </c>
      <c r="P573">
        <v>10</v>
      </c>
      <c r="Q573">
        <v>0.5</v>
      </c>
      <c r="R573">
        <v>0.433</v>
      </c>
      <c r="S573">
        <v>12</v>
      </c>
      <c r="T573">
        <v>13</v>
      </c>
      <c r="U573">
        <v>0.92300000000000004</v>
      </c>
      <c r="V573">
        <v>1</v>
      </c>
      <c r="W573">
        <v>2</v>
      </c>
      <c r="X573">
        <v>3</v>
      </c>
      <c r="Y573">
        <v>6</v>
      </c>
      <c r="Z573">
        <v>3</v>
      </c>
      <c r="AA573">
        <v>0</v>
      </c>
      <c r="AB573">
        <v>5</v>
      </c>
      <c r="AC573">
        <v>7</v>
      </c>
      <c r="AD573">
        <v>25</v>
      </c>
    </row>
    <row r="574" spans="1:30" x14ac:dyDescent="0.3">
      <c r="A574">
        <v>419</v>
      </c>
      <c r="B574" t="s">
        <v>2415</v>
      </c>
      <c r="C574" t="s">
        <v>1981</v>
      </c>
      <c r="D574">
        <v>23</v>
      </c>
      <c r="E574" t="s">
        <v>2008</v>
      </c>
      <c r="F574">
        <v>72</v>
      </c>
      <c r="G574">
        <v>22</v>
      </c>
      <c r="H574">
        <v>1412</v>
      </c>
      <c r="I574">
        <v>159</v>
      </c>
      <c r="J574">
        <v>371</v>
      </c>
      <c r="K574">
        <v>0.42899999999999999</v>
      </c>
      <c r="L574">
        <v>73</v>
      </c>
      <c r="M574">
        <v>197</v>
      </c>
      <c r="N574">
        <v>0.371</v>
      </c>
      <c r="O574">
        <v>86</v>
      </c>
      <c r="P574">
        <v>174</v>
      </c>
      <c r="Q574">
        <v>0.49399999999999999</v>
      </c>
      <c r="R574">
        <v>0.52700000000000002</v>
      </c>
      <c r="S574">
        <v>44</v>
      </c>
      <c r="T574">
        <v>55</v>
      </c>
      <c r="U574">
        <v>0.8</v>
      </c>
      <c r="V574">
        <v>31</v>
      </c>
      <c r="W574">
        <v>145</v>
      </c>
      <c r="X574">
        <v>176</v>
      </c>
      <c r="Y574">
        <v>62</v>
      </c>
      <c r="Z574">
        <v>32</v>
      </c>
      <c r="AA574">
        <v>11</v>
      </c>
      <c r="AB574">
        <v>48</v>
      </c>
      <c r="AC574">
        <v>86</v>
      </c>
      <c r="AD574">
        <v>435</v>
      </c>
    </row>
    <row r="575" spans="1:30" x14ac:dyDescent="0.3">
      <c r="A575">
        <v>420</v>
      </c>
      <c r="B575" t="s">
        <v>2416</v>
      </c>
      <c r="C575" t="s">
        <v>213</v>
      </c>
      <c r="D575">
        <v>27</v>
      </c>
      <c r="E575" t="s">
        <v>2010</v>
      </c>
      <c r="F575">
        <v>76</v>
      </c>
      <c r="G575">
        <v>9</v>
      </c>
      <c r="H575">
        <v>1207</v>
      </c>
      <c r="I575">
        <v>318</v>
      </c>
      <c r="J575">
        <v>646</v>
      </c>
      <c r="K575">
        <v>0.49199999999999999</v>
      </c>
      <c r="L575">
        <v>5</v>
      </c>
      <c r="M575">
        <v>18</v>
      </c>
      <c r="N575">
        <v>0.27800000000000002</v>
      </c>
      <c r="O575">
        <v>313</v>
      </c>
      <c r="P575">
        <v>628</v>
      </c>
      <c r="Q575">
        <v>0.498</v>
      </c>
      <c r="R575">
        <v>0.496</v>
      </c>
      <c r="S575">
        <v>150</v>
      </c>
      <c r="T575">
        <v>178</v>
      </c>
      <c r="U575">
        <v>0.84299999999999997</v>
      </c>
      <c r="V575">
        <v>109</v>
      </c>
      <c r="W575">
        <v>216</v>
      </c>
      <c r="X575">
        <v>325</v>
      </c>
      <c r="Y575">
        <v>72</v>
      </c>
      <c r="Z575">
        <v>20</v>
      </c>
      <c r="AA575">
        <v>34</v>
      </c>
      <c r="AB575">
        <v>82</v>
      </c>
      <c r="AC575">
        <v>189</v>
      </c>
      <c r="AD575">
        <v>791</v>
      </c>
    </row>
    <row r="576" spans="1:30" x14ac:dyDescent="0.3">
      <c r="A576" t="s">
        <v>1929</v>
      </c>
      <c r="B576" t="s">
        <v>1930</v>
      </c>
      <c r="C576" t="s">
        <v>1931</v>
      </c>
      <c r="D576" t="s">
        <v>198</v>
      </c>
      <c r="E576" t="s">
        <v>1932</v>
      </c>
      <c r="F576" t="s">
        <v>1933</v>
      </c>
      <c r="G576" t="s">
        <v>1934</v>
      </c>
      <c r="H576" t="s">
        <v>1935</v>
      </c>
      <c r="I576" t="s">
        <v>1936</v>
      </c>
      <c r="J576" t="s">
        <v>1937</v>
      </c>
      <c r="K576" t="s">
        <v>1938</v>
      </c>
      <c r="L576" t="s">
        <v>1939</v>
      </c>
      <c r="M576" t="s">
        <v>1940</v>
      </c>
      <c r="N576" t="s">
        <v>1941</v>
      </c>
      <c r="O576" t="s">
        <v>1942</v>
      </c>
      <c r="P576" t="s">
        <v>1943</v>
      </c>
      <c r="Q576" t="s">
        <v>1944</v>
      </c>
      <c r="R576" t="s">
        <v>1945</v>
      </c>
      <c r="S576" t="s">
        <v>1946</v>
      </c>
      <c r="T576" t="s">
        <v>1947</v>
      </c>
      <c r="U576" t="s">
        <v>1948</v>
      </c>
      <c r="V576" t="s">
        <v>1949</v>
      </c>
      <c r="W576" t="s">
        <v>1950</v>
      </c>
      <c r="X576" t="s">
        <v>1951</v>
      </c>
      <c r="Y576" t="s">
        <v>1952</v>
      </c>
      <c r="Z576" t="s">
        <v>1953</v>
      </c>
      <c r="AA576" t="s">
        <v>1954</v>
      </c>
      <c r="AB576" t="s">
        <v>1955</v>
      </c>
      <c r="AC576" t="s">
        <v>1956</v>
      </c>
      <c r="AD576" t="s">
        <v>1957</v>
      </c>
    </row>
    <row r="577" spans="1:30" x14ac:dyDescent="0.3">
      <c r="A577">
        <v>421</v>
      </c>
      <c r="B577" t="s">
        <v>2417</v>
      </c>
      <c r="C577" t="s">
        <v>213</v>
      </c>
      <c r="D577">
        <v>30</v>
      </c>
      <c r="E577" t="s">
        <v>1990</v>
      </c>
      <c r="F577">
        <v>52</v>
      </c>
      <c r="G577">
        <v>35</v>
      </c>
      <c r="H577">
        <v>1030</v>
      </c>
      <c r="I577">
        <v>169</v>
      </c>
      <c r="J577">
        <v>303</v>
      </c>
      <c r="K577">
        <v>0.55800000000000005</v>
      </c>
      <c r="L577">
        <v>0</v>
      </c>
      <c r="M577">
        <v>0</v>
      </c>
      <c r="O577">
        <v>169</v>
      </c>
      <c r="P577">
        <v>303</v>
      </c>
      <c r="Q577">
        <v>0.55800000000000005</v>
      </c>
      <c r="R577">
        <v>0.55800000000000005</v>
      </c>
      <c r="S577">
        <v>90</v>
      </c>
      <c r="T577">
        <v>120</v>
      </c>
      <c r="U577">
        <v>0.75</v>
      </c>
      <c r="V577">
        <v>91</v>
      </c>
      <c r="W577">
        <v>161</v>
      </c>
      <c r="X577">
        <v>252</v>
      </c>
      <c r="Y577">
        <v>78</v>
      </c>
      <c r="Z577">
        <v>35</v>
      </c>
      <c r="AA577">
        <v>37</v>
      </c>
      <c r="AB577">
        <v>60</v>
      </c>
      <c r="AC577">
        <v>103</v>
      </c>
      <c r="AD577">
        <v>428</v>
      </c>
    </row>
    <row r="578" spans="1:30" x14ac:dyDescent="0.3">
      <c r="A578">
        <v>422</v>
      </c>
      <c r="B578" t="s">
        <v>2418</v>
      </c>
      <c r="C578" t="s">
        <v>1961</v>
      </c>
      <c r="D578">
        <v>21</v>
      </c>
      <c r="E578" t="s">
        <v>2034</v>
      </c>
      <c r="F578">
        <v>73</v>
      </c>
      <c r="G578">
        <v>1</v>
      </c>
      <c r="H578">
        <v>1127</v>
      </c>
      <c r="I578">
        <v>108</v>
      </c>
      <c r="J578">
        <v>296</v>
      </c>
      <c r="K578">
        <v>0.36499999999999999</v>
      </c>
      <c r="L578">
        <v>48</v>
      </c>
      <c r="M578">
        <v>149</v>
      </c>
      <c r="N578">
        <v>0.32200000000000001</v>
      </c>
      <c r="O578">
        <v>60</v>
      </c>
      <c r="P578">
        <v>147</v>
      </c>
      <c r="Q578">
        <v>0.40799999999999997</v>
      </c>
      <c r="R578">
        <v>0.44600000000000001</v>
      </c>
      <c r="S578">
        <v>55</v>
      </c>
      <c r="T578">
        <v>64</v>
      </c>
      <c r="U578">
        <v>0.85899999999999999</v>
      </c>
      <c r="V578">
        <v>11</v>
      </c>
      <c r="W578">
        <v>77</v>
      </c>
      <c r="X578">
        <v>88</v>
      </c>
      <c r="Y578">
        <v>67</v>
      </c>
      <c r="Z578">
        <v>20</v>
      </c>
      <c r="AA578">
        <v>17</v>
      </c>
      <c r="AB578">
        <v>40</v>
      </c>
      <c r="AC578">
        <v>92</v>
      </c>
      <c r="AD578">
        <v>319</v>
      </c>
    </row>
    <row r="579" spans="1:30" x14ac:dyDescent="0.3">
      <c r="A579">
        <v>423</v>
      </c>
      <c r="B579" t="s">
        <v>2419</v>
      </c>
      <c r="C579" t="s">
        <v>1961</v>
      </c>
      <c r="D579">
        <v>24</v>
      </c>
      <c r="E579" t="s">
        <v>2036</v>
      </c>
      <c r="F579">
        <v>61</v>
      </c>
      <c r="G579">
        <v>25</v>
      </c>
      <c r="H579">
        <v>1573</v>
      </c>
      <c r="I579">
        <v>207</v>
      </c>
      <c r="J579">
        <v>550</v>
      </c>
      <c r="K579">
        <v>0.376</v>
      </c>
      <c r="L579">
        <v>18</v>
      </c>
      <c r="M579">
        <v>105</v>
      </c>
      <c r="N579">
        <v>0.17100000000000001</v>
      </c>
      <c r="O579">
        <v>189</v>
      </c>
      <c r="P579">
        <v>445</v>
      </c>
      <c r="Q579">
        <v>0.42499999999999999</v>
      </c>
      <c r="R579">
        <v>0.39300000000000002</v>
      </c>
      <c r="S579">
        <v>69</v>
      </c>
      <c r="T579">
        <v>110</v>
      </c>
      <c r="U579">
        <v>0.627</v>
      </c>
      <c r="V579">
        <v>39</v>
      </c>
      <c r="W579">
        <v>238</v>
      </c>
      <c r="X579">
        <v>277</v>
      </c>
      <c r="Y579">
        <v>240</v>
      </c>
      <c r="Z579">
        <v>38</v>
      </c>
      <c r="AA579">
        <v>8</v>
      </c>
      <c r="AB579">
        <v>128</v>
      </c>
      <c r="AC579">
        <v>134</v>
      </c>
      <c r="AD579">
        <v>501</v>
      </c>
    </row>
    <row r="580" spans="1:30" x14ac:dyDescent="0.3">
      <c r="A580">
        <v>424</v>
      </c>
      <c r="B580" t="s">
        <v>2420</v>
      </c>
      <c r="C580" t="s">
        <v>213</v>
      </c>
      <c r="D580">
        <v>29</v>
      </c>
      <c r="E580" t="s">
        <v>2068</v>
      </c>
      <c r="F580">
        <v>17</v>
      </c>
      <c r="G580">
        <v>0</v>
      </c>
      <c r="H580">
        <v>66</v>
      </c>
      <c r="I580">
        <v>6</v>
      </c>
      <c r="J580">
        <v>8</v>
      </c>
      <c r="K580">
        <v>0.75</v>
      </c>
      <c r="L580">
        <v>0</v>
      </c>
      <c r="M580">
        <v>0</v>
      </c>
      <c r="O580">
        <v>6</v>
      </c>
      <c r="P580">
        <v>8</v>
      </c>
      <c r="Q580">
        <v>0.75</v>
      </c>
      <c r="R580">
        <v>0.75</v>
      </c>
      <c r="S580">
        <v>2</v>
      </c>
      <c r="T580">
        <v>4</v>
      </c>
      <c r="U580">
        <v>0.5</v>
      </c>
      <c r="V580">
        <v>9</v>
      </c>
      <c r="W580">
        <v>6</v>
      </c>
      <c r="X580">
        <v>15</v>
      </c>
      <c r="Y580">
        <v>3</v>
      </c>
      <c r="Z580">
        <v>2</v>
      </c>
      <c r="AA580">
        <v>0</v>
      </c>
      <c r="AB580">
        <v>7</v>
      </c>
      <c r="AC580">
        <v>15</v>
      </c>
      <c r="AD580">
        <v>14</v>
      </c>
    </row>
    <row r="581" spans="1:30" x14ac:dyDescent="0.3">
      <c r="A581">
        <v>425</v>
      </c>
      <c r="B581" t="s">
        <v>2421</v>
      </c>
      <c r="C581" t="s">
        <v>2004</v>
      </c>
      <c r="D581">
        <v>23</v>
      </c>
      <c r="E581" t="s">
        <v>2034</v>
      </c>
      <c r="F581">
        <v>3</v>
      </c>
      <c r="G581">
        <v>0</v>
      </c>
      <c r="H581">
        <v>33</v>
      </c>
      <c r="I581">
        <v>2</v>
      </c>
      <c r="J581">
        <v>6</v>
      </c>
      <c r="K581">
        <v>0.33300000000000002</v>
      </c>
      <c r="L581">
        <v>1</v>
      </c>
      <c r="M581">
        <v>2</v>
      </c>
      <c r="N581">
        <v>0.5</v>
      </c>
      <c r="O581">
        <v>1</v>
      </c>
      <c r="P581">
        <v>4</v>
      </c>
      <c r="Q581">
        <v>0.25</v>
      </c>
      <c r="R581">
        <v>0.41699999999999998</v>
      </c>
      <c r="S581">
        <v>3</v>
      </c>
      <c r="T581">
        <v>6</v>
      </c>
      <c r="U581">
        <v>0.5</v>
      </c>
      <c r="V581">
        <v>0</v>
      </c>
      <c r="W581">
        <v>2</v>
      </c>
      <c r="X581">
        <v>2</v>
      </c>
      <c r="Y581">
        <v>9</v>
      </c>
      <c r="Z581">
        <v>2</v>
      </c>
      <c r="AA581">
        <v>0</v>
      </c>
      <c r="AB581">
        <v>4</v>
      </c>
      <c r="AC581">
        <v>1</v>
      </c>
      <c r="AD581">
        <v>8</v>
      </c>
    </row>
    <row r="582" spans="1:30" x14ac:dyDescent="0.3">
      <c r="A582">
        <v>426</v>
      </c>
      <c r="B582" t="s">
        <v>2422</v>
      </c>
      <c r="C582" t="s">
        <v>1956</v>
      </c>
      <c r="D582">
        <v>21</v>
      </c>
      <c r="E582" t="s">
        <v>1962</v>
      </c>
      <c r="F582">
        <v>19</v>
      </c>
      <c r="G582">
        <v>2</v>
      </c>
      <c r="H582">
        <v>126</v>
      </c>
      <c r="I582">
        <v>21</v>
      </c>
      <c r="J582">
        <v>37</v>
      </c>
      <c r="K582">
        <v>0.56799999999999995</v>
      </c>
      <c r="L582">
        <v>0</v>
      </c>
      <c r="M582">
        <v>0</v>
      </c>
      <c r="O582">
        <v>21</v>
      </c>
      <c r="P582">
        <v>37</v>
      </c>
      <c r="Q582">
        <v>0.56799999999999995</v>
      </c>
      <c r="R582">
        <v>0.56799999999999995</v>
      </c>
      <c r="S582">
        <v>15</v>
      </c>
      <c r="T582">
        <v>28</v>
      </c>
      <c r="U582">
        <v>0.53600000000000003</v>
      </c>
      <c r="V582">
        <v>16</v>
      </c>
      <c r="W582">
        <v>18</v>
      </c>
      <c r="X582">
        <v>34</v>
      </c>
      <c r="Y582">
        <v>4</v>
      </c>
      <c r="Z582">
        <v>5</v>
      </c>
      <c r="AA582">
        <v>5</v>
      </c>
      <c r="AB582">
        <v>7</v>
      </c>
      <c r="AC582">
        <v>25</v>
      </c>
      <c r="AD582">
        <v>57</v>
      </c>
    </row>
    <row r="583" spans="1:30" x14ac:dyDescent="0.3">
      <c r="A583">
        <v>427</v>
      </c>
      <c r="B583" t="s">
        <v>2423</v>
      </c>
      <c r="C583" t="s">
        <v>1956</v>
      </c>
      <c r="D583">
        <v>32</v>
      </c>
      <c r="E583" t="s">
        <v>1968</v>
      </c>
      <c r="F583">
        <v>59</v>
      </c>
      <c r="G583">
        <v>15</v>
      </c>
      <c r="H583">
        <v>1245</v>
      </c>
      <c r="I583">
        <v>273</v>
      </c>
      <c r="J583">
        <v>490</v>
      </c>
      <c r="K583">
        <v>0.55700000000000005</v>
      </c>
      <c r="L583">
        <v>0</v>
      </c>
      <c r="M583">
        <v>4</v>
      </c>
      <c r="N583">
        <v>0</v>
      </c>
      <c r="O583">
        <v>273</v>
      </c>
      <c r="P583">
        <v>486</v>
      </c>
      <c r="Q583">
        <v>0.56200000000000006</v>
      </c>
      <c r="R583">
        <v>0.55700000000000005</v>
      </c>
      <c r="S583">
        <v>134</v>
      </c>
      <c r="T583">
        <v>186</v>
      </c>
      <c r="U583">
        <v>0.72</v>
      </c>
      <c r="V583">
        <v>110</v>
      </c>
      <c r="W583">
        <v>219</v>
      </c>
      <c r="X583">
        <v>329</v>
      </c>
      <c r="Y583">
        <v>45</v>
      </c>
      <c r="Z583">
        <v>29</v>
      </c>
      <c r="AA583">
        <v>38</v>
      </c>
      <c r="AB583">
        <v>78</v>
      </c>
      <c r="AC583">
        <v>161</v>
      </c>
      <c r="AD583">
        <v>680</v>
      </c>
    </row>
    <row r="584" spans="1:30" x14ac:dyDescent="0.3">
      <c r="A584">
        <v>427</v>
      </c>
      <c r="B584" t="s">
        <v>2423</v>
      </c>
      <c r="C584" t="s">
        <v>1956</v>
      </c>
      <c r="D584">
        <v>32</v>
      </c>
      <c r="E584" t="s">
        <v>1959</v>
      </c>
      <c r="F584">
        <v>36</v>
      </c>
      <c r="G584">
        <v>14</v>
      </c>
      <c r="H584">
        <v>865</v>
      </c>
      <c r="I584">
        <v>169</v>
      </c>
      <c r="J584">
        <v>311</v>
      </c>
      <c r="K584">
        <v>0.54300000000000004</v>
      </c>
      <c r="L584">
        <v>0</v>
      </c>
      <c r="M584">
        <v>3</v>
      </c>
      <c r="N584">
        <v>0</v>
      </c>
      <c r="O584">
        <v>169</v>
      </c>
      <c r="P584">
        <v>308</v>
      </c>
      <c r="Q584">
        <v>0.54900000000000004</v>
      </c>
      <c r="R584">
        <v>0.54300000000000004</v>
      </c>
      <c r="S584">
        <v>94</v>
      </c>
      <c r="T584">
        <v>127</v>
      </c>
      <c r="U584">
        <v>0.74</v>
      </c>
      <c r="V584">
        <v>83</v>
      </c>
      <c r="W584">
        <v>162</v>
      </c>
      <c r="X584">
        <v>245</v>
      </c>
      <c r="Y584">
        <v>37</v>
      </c>
      <c r="Z584">
        <v>20</v>
      </c>
      <c r="AA584">
        <v>34</v>
      </c>
      <c r="AB584">
        <v>63</v>
      </c>
      <c r="AC584">
        <v>111</v>
      </c>
      <c r="AD584">
        <v>432</v>
      </c>
    </row>
    <row r="585" spans="1:30" x14ac:dyDescent="0.3">
      <c r="A585">
        <v>427</v>
      </c>
      <c r="B585" t="s">
        <v>2423</v>
      </c>
      <c r="C585" t="s">
        <v>1956</v>
      </c>
      <c r="D585">
        <v>32</v>
      </c>
      <c r="E585" t="s">
        <v>1982</v>
      </c>
      <c r="F585">
        <v>23</v>
      </c>
      <c r="G585">
        <v>1</v>
      </c>
      <c r="H585">
        <v>380</v>
      </c>
      <c r="I585">
        <v>104</v>
      </c>
      <c r="J585">
        <v>179</v>
      </c>
      <c r="K585">
        <v>0.58099999999999996</v>
      </c>
      <c r="L585">
        <v>0</v>
      </c>
      <c r="M585">
        <v>1</v>
      </c>
      <c r="N585">
        <v>0</v>
      </c>
      <c r="O585">
        <v>104</v>
      </c>
      <c r="P585">
        <v>178</v>
      </c>
      <c r="Q585">
        <v>0.58399999999999996</v>
      </c>
      <c r="R585">
        <v>0.58099999999999996</v>
      </c>
      <c r="S585">
        <v>40</v>
      </c>
      <c r="T585">
        <v>59</v>
      </c>
      <c r="U585">
        <v>0.67800000000000005</v>
      </c>
      <c r="V585">
        <v>27</v>
      </c>
      <c r="W585">
        <v>57</v>
      </c>
      <c r="X585">
        <v>84</v>
      </c>
      <c r="Y585">
        <v>8</v>
      </c>
      <c r="Z585">
        <v>9</v>
      </c>
      <c r="AA585">
        <v>4</v>
      </c>
      <c r="AB585">
        <v>15</v>
      </c>
      <c r="AC585">
        <v>50</v>
      </c>
      <c r="AD585">
        <v>248</v>
      </c>
    </row>
    <row r="586" spans="1:30" x14ac:dyDescent="0.3">
      <c r="A586">
        <v>428</v>
      </c>
      <c r="B586" t="s">
        <v>2424</v>
      </c>
      <c r="C586" t="s">
        <v>2004</v>
      </c>
      <c r="D586">
        <v>28</v>
      </c>
      <c r="E586" t="s">
        <v>1978</v>
      </c>
      <c r="F586">
        <v>71</v>
      </c>
      <c r="G586">
        <v>36</v>
      </c>
      <c r="H586">
        <v>1874</v>
      </c>
      <c r="I586">
        <v>332</v>
      </c>
      <c r="J586">
        <v>754</v>
      </c>
      <c r="K586">
        <v>0.44</v>
      </c>
      <c r="L586">
        <v>55</v>
      </c>
      <c r="M586">
        <v>141</v>
      </c>
      <c r="N586">
        <v>0.39</v>
      </c>
      <c r="O586">
        <v>277</v>
      </c>
      <c r="P586">
        <v>613</v>
      </c>
      <c r="Q586">
        <v>0.45200000000000001</v>
      </c>
      <c r="R586">
        <v>0.47699999999999998</v>
      </c>
      <c r="S586">
        <v>177</v>
      </c>
      <c r="T586">
        <v>216</v>
      </c>
      <c r="U586">
        <v>0.81899999999999995</v>
      </c>
      <c r="V586">
        <v>36</v>
      </c>
      <c r="W586">
        <v>212</v>
      </c>
      <c r="X586">
        <v>248</v>
      </c>
      <c r="Y586">
        <v>219</v>
      </c>
      <c r="Z586">
        <v>56</v>
      </c>
      <c r="AA586">
        <v>10</v>
      </c>
      <c r="AB586">
        <v>118</v>
      </c>
      <c r="AC586">
        <v>131</v>
      </c>
      <c r="AD586">
        <v>896</v>
      </c>
    </row>
    <row r="587" spans="1:30" x14ac:dyDescent="0.3">
      <c r="A587">
        <v>429</v>
      </c>
      <c r="B587" t="s">
        <v>2425</v>
      </c>
      <c r="C587" t="s">
        <v>1956</v>
      </c>
      <c r="D587">
        <v>22</v>
      </c>
      <c r="E587" t="s">
        <v>2020</v>
      </c>
      <c r="F587">
        <v>58</v>
      </c>
      <c r="G587">
        <v>49</v>
      </c>
      <c r="H587">
        <v>1566</v>
      </c>
      <c r="I587">
        <v>311</v>
      </c>
      <c r="J587">
        <v>708</v>
      </c>
      <c r="K587">
        <v>0.439</v>
      </c>
      <c r="L587">
        <v>52</v>
      </c>
      <c r="M587">
        <v>184</v>
      </c>
      <c r="N587">
        <v>0.28299999999999997</v>
      </c>
      <c r="O587">
        <v>259</v>
      </c>
      <c r="P587">
        <v>524</v>
      </c>
      <c r="Q587">
        <v>0.49399999999999999</v>
      </c>
      <c r="R587">
        <v>0.47599999999999998</v>
      </c>
      <c r="S587">
        <v>96</v>
      </c>
      <c r="T587">
        <v>129</v>
      </c>
      <c r="U587">
        <v>0.74399999999999999</v>
      </c>
      <c r="V587">
        <v>147</v>
      </c>
      <c r="W587">
        <v>294</v>
      </c>
      <c r="X587">
        <v>441</v>
      </c>
      <c r="Y587">
        <v>134</v>
      </c>
      <c r="Z587">
        <v>44</v>
      </c>
      <c r="AA587">
        <v>42</v>
      </c>
      <c r="AB587">
        <v>78</v>
      </c>
      <c r="AC587">
        <v>153</v>
      </c>
      <c r="AD587">
        <v>770</v>
      </c>
    </row>
    <row r="588" spans="1:30" x14ac:dyDescent="0.3">
      <c r="A588">
        <v>430</v>
      </c>
      <c r="B588" t="s">
        <v>2426</v>
      </c>
      <c r="C588" t="s">
        <v>1981</v>
      </c>
      <c r="D588">
        <v>25</v>
      </c>
      <c r="E588" t="s">
        <v>2036</v>
      </c>
      <c r="F588">
        <v>29</v>
      </c>
      <c r="G588">
        <v>13</v>
      </c>
      <c r="H588">
        <v>430</v>
      </c>
      <c r="I588">
        <v>45</v>
      </c>
      <c r="J588">
        <v>114</v>
      </c>
      <c r="K588">
        <v>0.39500000000000002</v>
      </c>
      <c r="L588">
        <v>11</v>
      </c>
      <c r="M588">
        <v>36</v>
      </c>
      <c r="N588">
        <v>0.30599999999999999</v>
      </c>
      <c r="O588">
        <v>34</v>
      </c>
      <c r="P588">
        <v>78</v>
      </c>
      <c r="Q588">
        <v>0.436</v>
      </c>
      <c r="R588">
        <v>0.443</v>
      </c>
      <c r="S588">
        <v>26</v>
      </c>
      <c r="T588">
        <v>41</v>
      </c>
      <c r="U588">
        <v>0.63400000000000001</v>
      </c>
      <c r="V588">
        <v>14</v>
      </c>
      <c r="W588">
        <v>39</v>
      </c>
      <c r="X588">
        <v>53</v>
      </c>
      <c r="Y588">
        <v>22</v>
      </c>
      <c r="Z588">
        <v>12</v>
      </c>
      <c r="AA588">
        <v>1</v>
      </c>
      <c r="AB588">
        <v>19</v>
      </c>
      <c r="AC588">
        <v>36</v>
      </c>
      <c r="AD588">
        <v>127</v>
      </c>
    </row>
    <row r="589" spans="1:30" x14ac:dyDescent="0.3">
      <c r="A589">
        <v>431</v>
      </c>
      <c r="B589" t="s">
        <v>2427</v>
      </c>
      <c r="C589" t="s">
        <v>2004</v>
      </c>
      <c r="D589">
        <v>26</v>
      </c>
      <c r="E589" t="s">
        <v>1998</v>
      </c>
      <c r="F589">
        <v>73</v>
      </c>
      <c r="G589">
        <v>72</v>
      </c>
      <c r="H589">
        <v>2228</v>
      </c>
      <c r="I589">
        <v>408</v>
      </c>
      <c r="J589">
        <v>887</v>
      </c>
      <c r="K589">
        <v>0.46</v>
      </c>
      <c r="L589">
        <v>71</v>
      </c>
      <c r="M589">
        <v>207</v>
      </c>
      <c r="N589">
        <v>0.34300000000000003</v>
      </c>
      <c r="O589">
        <v>337</v>
      </c>
      <c r="P589">
        <v>680</v>
      </c>
      <c r="Q589">
        <v>0.496</v>
      </c>
      <c r="R589">
        <v>0.5</v>
      </c>
      <c r="S589">
        <v>275</v>
      </c>
      <c r="T589">
        <v>319</v>
      </c>
      <c r="U589">
        <v>0.86199999999999999</v>
      </c>
      <c r="V589">
        <v>30</v>
      </c>
      <c r="W589">
        <v>154</v>
      </c>
      <c r="X589">
        <v>184</v>
      </c>
      <c r="Y589">
        <v>513</v>
      </c>
      <c r="Z589">
        <v>125</v>
      </c>
      <c r="AA589">
        <v>31</v>
      </c>
      <c r="AB589">
        <v>205</v>
      </c>
      <c r="AC589">
        <v>139</v>
      </c>
      <c r="AD589">
        <v>1162</v>
      </c>
    </row>
    <row r="590" spans="1:30" x14ac:dyDescent="0.3">
      <c r="A590">
        <v>432</v>
      </c>
      <c r="B590" t="s">
        <v>2428</v>
      </c>
      <c r="C590" t="s">
        <v>1956</v>
      </c>
      <c r="D590">
        <v>29</v>
      </c>
      <c r="E590" t="s">
        <v>1988</v>
      </c>
      <c r="F590">
        <v>40</v>
      </c>
      <c r="G590">
        <v>4</v>
      </c>
      <c r="H590">
        <v>892</v>
      </c>
      <c r="I590">
        <v>122</v>
      </c>
      <c r="J590">
        <v>319</v>
      </c>
      <c r="K590">
        <v>0.38200000000000001</v>
      </c>
      <c r="L590">
        <v>62</v>
      </c>
      <c r="M590">
        <v>193</v>
      </c>
      <c r="N590">
        <v>0.32100000000000001</v>
      </c>
      <c r="O590">
        <v>60</v>
      </c>
      <c r="P590">
        <v>126</v>
      </c>
      <c r="Q590">
        <v>0.47599999999999998</v>
      </c>
      <c r="R590">
        <v>0.48</v>
      </c>
      <c r="S590">
        <v>33</v>
      </c>
      <c r="T590">
        <v>46</v>
      </c>
      <c r="U590">
        <v>0.71699999999999997</v>
      </c>
      <c r="V590">
        <v>27</v>
      </c>
      <c r="W590">
        <v>167</v>
      </c>
      <c r="X590">
        <v>194</v>
      </c>
      <c r="Y590">
        <v>46</v>
      </c>
      <c r="Z590">
        <v>14</v>
      </c>
      <c r="AA590">
        <v>16</v>
      </c>
      <c r="AB590">
        <v>53</v>
      </c>
      <c r="AC590">
        <v>74</v>
      </c>
      <c r="AD590">
        <v>339</v>
      </c>
    </row>
    <row r="591" spans="1:30" x14ac:dyDescent="0.3">
      <c r="A591">
        <v>433</v>
      </c>
      <c r="B591" t="s">
        <v>2429</v>
      </c>
      <c r="C591" t="s">
        <v>2004</v>
      </c>
      <c r="D591">
        <v>29</v>
      </c>
      <c r="E591" t="s">
        <v>1964</v>
      </c>
      <c r="F591">
        <v>16</v>
      </c>
      <c r="G591">
        <v>1</v>
      </c>
      <c r="H591">
        <v>327</v>
      </c>
      <c r="I591">
        <v>46</v>
      </c>
      <c r="J591">
        <v>125</v>
      </c>
      <c r="K591">
        <v>0.36799999999999999</v>
      </c>
      <c r="L591">
        <v>18</v>
      </c>
      <c r="M591">
        <v>60</v>
      </c>
      <c r="N591">
        <v>0.3</v>
      </c>
      <c r="O591">
        <v>28</v>
      </c>
      <c r="P591">
        <v>65</v>
      </c>
      <c r="Q591">
        <v>0.43099999999999999</v>
      </c>
      <c r="R591">
        <v>0.44</v>
      </c>
      <c r="S591">
        <v>24</v>
      </c>
      <c r="T591">
        <v>34</v>
      </c>
      <c r="U591">
        <v>0.70599999999999996</v>
      </c>
      <c r="V591">
        <v>2</v>
      </c>
      <c r="W591">
        <v>28</v>
      </c>
      <c r="X591">
        <v>30</v>
      </c>
      <c r="Y591">
        <v>45</v>
      </c>
      <c r="Z591">
        <v>10</v>
      </c>
      <c r="AA591">
        <v>0</v>
      </c>
      <c r="AB591">
        <v>18</v>
      </c>
      <c r="AC591">
        <v>29</v>
      </c>
      <c r="AD591">
        <v>134</v>
      </c>
    </row>
    <row r="592" spans="1:30" x14ac:dyDescent="0.3">
      <c r="A592">
        <v>434</v>
      </c>
      <c r="B592" t="s">
        <v>2430</v>
      </c>
      <c r="C592" t="s">
        <v>1961</v>
      </c>
      <c r="D592">
        <v>28</v>
      </c>
      <c r="E592" t="s">
        <v>2026</v>
      </c>
      <c r="F592">
        <v>52</v>
      </c>
      <c r="G592">
        <v>18</v>
      </c>
      <c r="H592">
        <v>735</v>
      </c>
      <c r="I592">
        <v>68</v>
      </c>
      <c r="J592">
        <v>170</v>
      </c>
      <c r="K592">
        <v>0.4</v>
      </c>
      <c r="L592">
        <v>33</v>
      </c>
      <c r="M592">
        <v>88</v>
      </c>
      <c r="N592">
        <v>0.375</v>
      </c>
      <c r="O592">
        <v>35</v>
      </c>
      <c r="P592">
        <v>82</v>
      </c>
      <c r="Q592">
        <v>0.42699999999999999</v>
      </c>
      <c r="R592">
        <v>0.497</v>
      </c>
      <c r="S592">
        <v>35</v>
      </c>
      <c r="T592">
        <v>48</v>
      </c>
      <c r="U592">
        <v>0.72899999999999998</v>
      </c>
      <c r="V592">
        <v>24</v>
      </c>
      <c r="W592">
        <v>66</v>
      </c>
      <c r="X592">
        <v>90</v>
      </c>
      <c r="Y592">
        <v>56</v>
      </c>
      <c r="Z592">
        <v>42</v>
      </c>
      <c r="AA592">
        <v>9</v>
      </c>
      <c r="AB592">
        <v>34</v>
      </c>
      <c r="AC592">
        <v>76</v>
      </c>
      <c r="AD592">
        <v>204</v>
      </c>
    </row>
    <row r="593" spans="1:30" x14ac:dyDescent="0.3">
      <c r="A593">
        <v>435</v>
      </c>
      <c r="B593" t="s">
        <v>2431</v>
      </c>
      <c r="C593" t="s">
        <v>1961</v>
      </c>
      <c r="D593">
        <v>37</v>
      </c>
      <c r="E593" t="s">
        <v>2000</v>
      </c>
      <c r="F593">
        <v>77</v>
      </c>
      <c r="G593">
        <v>18</v>
      </c>
      <c r="H593">
        <v>1641</v>
      </c>
      <c r="I593">
        <v>188</v>
      </c>
      <c r="J593">
        <v>446</v>
      </c>
      <c r="K593">
        <v>0.42199999999999999</v>
      </c>
      <c r="L593">
        <v>126</v>
      </c>
      <c r="M593">
        <v>323</v>
      </c>
      <c r="N593">
        <v>0.39</v>
      </c>
      <c r="O593">
        <v>62</v>
      </c>
      <c r="P593">
        <v>123</v>
      </c>
      <c r="Q593">
        <v>0.504</v>
      </c>
      <c r="R593">
        <v>0.56299999999999994</v>
      </c>
      <c r="S593">
        <v>39</v>
      </c>
      <c r="T593">
        <v>48</v>
      </c>
      <c r="U593">
        <v>0.81299999999999994</v>
      </c>
      <c r="V593">
        <v>15</v>
      </c>
      <c r="W593">
        <v>106</v>
      </c>
      <c r="X593">
        <v>121</v>
      </c>
      <c r="Y593">
        <v>147</v>
      </c>
      <c r="Z593">
        <v>66</v>
      </c>
      <c r="AA593">
        <v>19</v>
      </c>
      <c r="AB593">
        <v>74</v>
      </c>
      <c r="AC593">
        <v>116</v>
      </c>
      <c r="AD593">
        <v>541</v>
      </c>
    </row>
    <row r="594" spans="1:30" x14ac:dyDescent="0.3">
      <c r="A594">
        <v>436</v>
      </c>
      <c r="B594" t="s">
        <v>2432</v>
      </c>
      <c r="C594" t="s">
        <v>2004</v>
      </c>
      <c r="D594">
        <v>25</v>
      </c>
      <c r="E594" t="s">
        <v>1968</v>
      </c>
      <c r="F594">
        <v>67</v>
      </c>
      <c r="G594">
        <v>1</v>
      </c>
      <c r="H594">
        <v>1726</v>
      </c>
      <c r="I594">
        <v>335</v>
      </c>
      <c r="J594">
        <v>797</v>
      </c>
      <c r="K594">
        <v>0.42</v>
      </c>
      <c r="L594">
        <v>129</v>
      </c>
      <c r="M594">
        <v>346</v>
      </c>
      <c r="N594">
        <v>0.373</v>
      </c>
      <c r="O594">
        <v>206</v>
      </c>
      <c r="P594">
        <v>451</v>
      </c>
      <c r="Q594">
        <v>0.45700000000000002</v>
      </c>
      <c r="R594">
        <v>0.501</v>
      </c>
      <c r="S594">
        <v>302</v>
      </c>
      <c r="T594">
        <v>348</v>
      </c>
      <c r="U594">
        <v>0.86799999999999999</v>
      </c>
      <c r="V594">
        <v>33</v>
      </c>
      <c r="W594">
        <v>120</v>
      </c>
      <c r="X594">
        <v>153</v>
      </c>
      <c r="Y594">
        <v>284</v>
      </c>
      <c r="Z594">
        <v>57</v>
      </c>
      <c r="AA594">
        <v>5</v>
      </c>
      <c r="AB594">
        <v>143</v>
      </c>
      <c r="AC594">
        <v>150</v>
      </c>
      <c r="AD594">
        <v>1101</v>
      </c>
    </row>
    <row r="595" spans="1:30" x14ac:dyDescent="0.3">
      <c r="A595">
        <v>436</v>
      </c>
      <c r="B595" t="s">
        <v>2432</v>
      </c>
      <c r="C595" t="s">
        <v>2004</v>
      </c>
      <c r="D595">
        <v>25</v>
      </c>
      <c r="E595" t="s">
        <v>2017</v>
      </c>
      <c r="F595">
        <v>46</v>
      </c>
      <c r="G595">
        <v>1</v>
      </c>
      <c r="H595">
        <v>1181</v>
      </c>
      <c r="I595">
        <v>218</v>
      </c>
      <c r="J595">
        <v>512</v>
      </c>
      <c r="K595">
        <v>0.42599999999999999</v>
      </c>
      <c r="L595">
        <v>81</v>
      </c>
      <c r="M595">
        <v>207</v>
      </c>
      <c r="N595">
        <v>0.39100000000000001</v>
      </c>
      <c r="O595">
        <v>137</v>
      </c>
      <c r="P595">
        <v>305</v>
      </c>
      <c r="Q595">
        <v>0.44900000000000001</v>
      </c>
      <c r="R595">
        <v>0.505</v>
      </c>
      <c r="S595">
        <v>184</v>
      </c>
      <c r="T595">
        <v>211</v>
      </c>
      <c r="U595">
        <v>0.872</v>
      </c>
      <c r="V595">
        <v>26</v>
      </c>
      <c r="W595">
        <v>83</v>
      </c>
      <c r="X595">
        <v>109</v>
      </c>
      <c r="Y595">
        <v>171</v>
      </c>
      <c r="Z595">
        <v>45</v>
      </c>
      <c r="AA595">
        <v>5</v>
      </c>
      <c r="AB595">
        <v>89</v>
      </c>
      <c r="AC595">
        <v>105</v>
      </c>
      <c r="AD595">
        <v>701</v>
      </c>
    </row>
    <row r="596" spans="1:30" x14ac:dyDescent="0.3">
      <c r="A596">
        <v>436</v>
      </c>
      <c r="B596" t="s">
        <v>2432</v>
      </c>
      <c r="C596" t="s">
        <v>2004</v>
      </c>
      <c r="D596">
        <v>25</v>
      </c>
      <c r="E596" t="s">
        <v>2020</v>
      </c>
      <c r="F596">
        <v>21</v>
      </c>
      <c r="G596">
        <v>0</v>
      </c>
      <c r="H596">
        <v>545</v>
      </c>
      <c r="I596">
        <v>117</v>
      </c>
      <c r="J596">
        <v>285</v>
      </c>
      <c r="K596">
        <v>0.41099999999999998</v>
      </c>
      <c r="L596">
        <v>48</v>
      </c>
      <c r="M596">
        <v>139</v>
      </c>
      <c r="N596">
        <v>0.34499999999999997</v>
      </c>
      <c r="O596">
        <v>69</v>
      </c>
      <c r="P596">
        <v>146</v>
      </c>
      <c r="Q596">
        <v>0.47299999999999998</v>
      </c>
      <c r="R596">
        <v>0.495</v>
      </c>
      <c r="S596">
        <v>118</v>
      </c>
      <c r="T596">
        <v>137</v>
      </c>
      <c r="U596">
        <v>0.86099999999999999</v>
      </c>
      <c r="V596">
        <v>7</v>
      </c>
      <c r="W596">
        <v>37</v>
      </c>
      <c r="X596">
        <v>44</v>
      </c>
      <c r="Y596">
        <v>113</v>
      </c>
      <c r="Z596">
        <v>12</v>
      </c>
      <c r="AA596">
        <v>0</v>
      </c>
      <c r="AB596">
        <v>54</v>
      </c>
      <c r="AC596">
        <v>45</v>
      </c>
      <c r="AD596">
        <v>400</v>
      </c>
    </row>
    <row r="597" spans="1:30" x14ac:dyDescent="0.3">
      <c r="A597">
        <v>437</v>
      </c>
      <c r="B597" t="s">
        <v>2433</v>
      </c>
      <c r="C597" t="s">
        <v>2434</v>
      </c>
      <c r="D597">
        <v>26</v>
      </c>
      <c r="E597" t="s">
        <v>1968</v>
      </c>
      <c r="F597">
        <v>62</v>
      </c>
      <c r="G597">
        <v>37</v>
      </c>
      <c r="H597">
        <v>1490</v>
      </c>
      <c r="I597">
        <v>182</v>
      </c>
      <c r="J597">
        <v>442</v>
      </c>
      <c r="K597">
        <v>0.41199999999999998</v>
      </c>
      <c r="L597">
        <v>7</v>
      </c>
      <c r="M597">
        <v>22</v>
      </c>
      <c r="N597">
        <v>0.318</v>
      </c>
      <c r="O597">
        <v>175</v>
      </c>
      <c r="P597">
        <v>420</v>
      </c>
      <c r="Q597">
        <v>0.41699999999999998</v>
      </c>
      <c r="R597">
        <v>0.42</v>
      </c>
      <c r="S597">
        <v>72</v>
      </c>
      <c r="T597">
        <v>99</v>
      </c>
      <c r="U597">
        <v>0.72699999999999998</v>
      </c>
      <c r="V597">
        <v>65</v>
      </c>
      <c r="W597">
        <v>130</v>
      </c>
      <c r="X597">
        <v>195</v>
      </c>
      <c r="Y597">
        <v>69</v>
      </c>
      <c r="Z597">
        <v>37</v>
      </c>
      <c r="AA597">
        <v>8</v>
      </c>
      <c r="AB597">
        <v>74</v>
      </c>
      <c r="AC597">
        <v>101</v>
      </c>
      <c r="AD597">
        <v>443</v>
      </c>
    </row>
    <row r="598" spans="1:30" x14ac:dyDescent="0.3">
      <c r="A598">
        <v>437</v>
      </c>
      <c r="B598" t="s">
        <v>2433</v>
      </c>
      <c r="C598" t="s">
        <v>1981</v>
      </c>
      <c r="D598">
        <v>26</v>
      </c>
      <c r="E598" t="s">
        <v>1964</v>
      </c>
      <c r="F598">
        <v>22</v>
      </c>
      <c r="G598">
        <v>13</v>
      </c>
      <c r="H598">
        <v>450</v>
      </c>
      <c r="I598">
        <v>45</v>
      </c>
      <c r="J598">
        <v>126</v>
      </c>
      <c r="K598">
        <v>0.35699999999999998</v>
      </c>
      <c r="L598">
        <v>0</v>
      </c>
      <c r="M598">
        <v>1</v>
      </c>
      <c r="N598">
        <v>0</v>
      </c>
      <c r="O598">
        <v>45</v>
      </c>
      <c r="P598">
        <v>125</v>
      </c>
      <c r="Q598">
        <v>0.36</v>
      </c>
      <c r="R598">
        <v>0.35699999999999998</v>
      </c>
      <c r="S598">
        <v>23</v>
      </c>
      <c r="T598">
        <v>33</v>
      </c>
      <c r="U598">
        <v>0.69699999999999995</v>
      </c>
      <c r="V598">
        <v>28</v>
      </c>
      <c r="W598">
        <v>47</v>
      </c>
      <c r="X598">
        <v>75</v>
      </c>
      <c r="Y598">
        <v>20</v>
      </c>
      <c r="Z598">
        <v>11</v>
      </c>
      <c r="AA598">
        <v>0</v>
      </c>
      <c r="AB598">
        <v>17</v>
      </c>
      <c r="AC598">
        <v>38</v>
      </c>
      <c r="AD598">
        <v>113</v>
      </c>
    </row>
    <row r="599" spans="1:30" x14ac:dyDescent="0.3">
      <c r="A599">
        <v>437</v>
      </c>
      <c r="B599" t="s">
        <v>2433</v>
      </c>
      <c r="C599" t="s">
        <v>1956</v>
      </c>
      <c r="D599">
        <v>26</v>
      </c>
      <c r="E599" t="s">
        <v>1959</v>
      </c>
      <c r="F599">
        <v>40</v>
      </c>
      <c r="G599">
        <v>24</v>
      </c>
      <c r="H599">
        <v>1040</v>
      </c>
      <c r="I599">
        <v>137</v>
      </c>
      <c r="J599">
        <v>316</v>
      </c>
      <c r="K599">
        <v>0.434</v>
      </c>
      <c r="L599">
        <v>7</v>
      </c>
      <c r="M599">
        <v>21</v>
      </c>
      <c r="N599">
        <v>0.33300000000000002</v>
      </c>
      <c r="O599">
        <v>130</v>
      </c>
      <c r="P599">
        <v>295</v>
      </c>
      <c r="Q599">
        <v>0.441</v>
      </c>
      <c r="R599">
        <v>0.44500000000000001</v>
      </c>
      <c r="S599">
        <v>49</v>
      </c>
      <c r="T599">
        <v>66</v>
      </c>
      <c r="U599">
        <v>0.74199999999999999</v>
      </c>
      <c r="V599">
        <v>37</v>
      </c>
      <c r="W599">
        <v>83</v>
      </c>
      <c r="X599">
        <v>120</v>
      </c>
      <c r="Y599">
        <v>49</v>
      </c>
      <c r="Z599">
        <v>26</v>
      </c>
      <c r="AA599">
        <v>8</v>
      </c>
      <c r="AB599">
        <v>57</v>
      </c>
      <c r="AC599">
        <v>63</v>
      </c>
      <c r="AD599">
        <v>330</v>
      </c>
    </row>
    <row r="600" spans="1:30" x14ac:dyDescent="0.3">
      <c r="A600">
        <v>438</v>
      </c>
      <c r="B600" t="s">
        <v>2435</v>
      </c>
      <c r="C600" t="s">
        <v>1956</v>
      </c>
      <c r="D600">
        <v>26</v>
      </c>
      <c r="E600" t="s">
        <v>1974</v>
      </c>
      <c r="F600">
        <v>17</v>
      </c>
      <c r="G600">
        <v>0</v>
      </c>
      <c r="H600">
        <v>194</v>
      </c>
      <c r="I600">
        <v>18</v>
      </c>
      <c r="J600">
        <v>40</v>
      </c>
      <c r="K600">
        <v>0.45</v>
      </c>
      <c r="L600">
        <v>0</v>
      </c>
      <c r="M600">
        <v>7</v>
      </c>
      <c r="N600">
        <v>0</v>
      </c>
      <c r="O600">
        <v>18</v>
      </c>
      <c r="P600">
        <v>33</v>
      </c>
      <c r="Q600">
        <v>0.54500000000000004</v>
      </c>
      <c r="R600">
        <v>0.45</v>
      </c>
      <c r="S600">
        <v>9</v>
      </c>
      <c r="T600">
        <v>13</v>
      </c>
      <c r="U600">
        <v>0.69199999999999995</v>
      </c>
      <c r="V600">
        <v>16</v>
      </c>
      <c r="W600">
        <v>40</v>
      </c>
      <c r="X600">
        <v>56</v>
      </c>
      <c r="Y600">
        <v>7</v>
      </c>
      <c r="Z600">
        <v>3</v>
      </c>
      <c r="AA600">
        <v>1</v>
      </c>
      <c r="AB600">
        <v>13</v>
      </c>
      <c r="AC600">
        <v>17</v>
      </c>
      <c r="AD600">
        <v>45</v>
      </c>
    </row>
    <row r="601" spans="1:30" x14ac:dyDescent="0.3">
      <c r="A601">
        <v>439</v>
      </c>
      <c r="B601" t="s">
        <v>2436</v>
      </c>
      <c r="C601" t="s">
        <v>1956</v>
      </c>
      <c r="D601">
        <v>28</v>
      </c>
      <c r="E601" t="s">
        <v>1962</v>
      </c>
      <c r="F601">
        <v>2</v>
      </c>
      <c r="G601">
        <v>0</v>
      </c>
      <c r="H601">
        <v>7</v>
      </c>
      <c r="I601">
        <v>1</v>
      </c>
      <c r="J601">
        <v>1</v>
      </c>
      <c r="K601">
        <v>1</v>
      </c>
      <c r="L601">
        <v>0</v>
      </c>
      <c r="M601">
        <v>0</v>
      </c>
      <c r="O601">
        <v>1</v>
      </c>
      <c r="P601">
        <v>1</v>
      </c>
      <c r="Q601">
        <v>1</v>
      </c>
      <c r="R601">
        <v>1</v>
      </c>
      <c r="S601">
        <v>2</v>
      </c>
      <c r="T601">
        <v>2</v>
      </c>
      <c r="U601">
        <v>1</v>
      </c>
      <c r="V601">
        <v>0</v>
      </c>
      <c r="W601">
        <v>0</v>
      </c>
      <c r="X601">
        <v>0</v>
      </c>
      <c r="Y601">
        <v>1</v>
      </c>
      <c r="Z601">
        <v>0</v>
      </c>
      <c r="AA601">
        <v>0</v>
      </c>
      <c r="AB601">
        <v>0</v>
      </c>
      <c r="AC601">
        <v>0</v>
      </c>
      <c r="AD601">
        <v>4</v>
      </c>
    </row>
    <row r="602" spans="1:30" x14ac:dyDescent="0.3">
      <c r="A602">
        <v>440</v>
      </c>
      <c r="B602" t="s">
        <v>2437</v>
      </c>
      <c r="C602" t="s">
        <v>1961</v>
      </c>
      <c r="D602">
        <v>23</v>
      </c>
      <c r="E602" t="s">
        <v>1974</v>
      </c>
      <c r="F602">
        <v>71</v>
      </c>
      <c r="G602">
        <v>23</v>
      </c>
      <c r="H602">
        <v>1776</v>
      </c>
      <c r="I602">
        <v>224</v>
      </c>
      <c r="J602">
        <v>543</v>
      </c>
      <c r="K602">
        <v>0.41299999999999998</v>
      </c>
      <c r="L602">
        <v>115</v>
      </c>
      <c r="M602">
        <v>287</v>
      </c>
      <c r="N602">
        <v>0.40100000000000002</v>
      </c>
      <c r="O602">
        <v>109</v>
      </c>
      <c r="P602">
        <v>256</v>
      </c>
      <c r="Q602">
        <v>0.42599999999999999</v>
      </c>
      <c r="R602">
        <v>0.51800000000000002</v>
      </c>
      <c r="S602">
        <v>63</v>
      </c>
      <c r="T602">
        <v>89</v>
      </c>
      <c r="U602">
        <v>0.70799999999999996</v>
      </c>
      <c r="V602">
        <v>53</v>
      </c>
      <c r="W602">
        <v>145</v>
      </c>
      <c r="X602">
        <v>198</v>
      </c>
      <c r="Y602">
        <v>85</v>
      </c>
      <c r="Z602">
        <v>57</v>
      </c>
      <c r="AA602">
        <v>26</v>
      </c>
      <c r="AB602">
        <v>66</v>
      </c>
      <c r="AC602">
        <v>141</v>
      </c>
      <c r="AD602">
        <v>626</v>
      </c>
    </row>
    <row r="603" spans="1:30" x14ac:dyDescent="0.3">
      <c r="A603" t="s">
        <v>1929</v>
      </c>
      <c r="B603" t="s">
        <v>1930</v>
      </c>
      <c r="C603" t="s">
        <v>1931</v>
      </c>
      <c r="D603" t="s">
        <v>198</v>
      </c>
      <c r="E603" t="s">
        <v>1932</v>
      </c>
      <c r="F603" t="s">
        <v>1933</v>
      </c>
      <c r="G603" t="s">
        <v>1934</v>
      </c>
      <c r="H603" t="s">
        <v>1935</v>
      </c>
      <c r="I603" t="s">
        <v>1936</v>
      </c>
      <c r="J603" t="s">
        <v>1937</v>
      </c>
      <c r="K603" t="s">
        <v>1938</v>
      </c>
      <c r="L603" t="s">
        <v>1939</v>
      </c>
      <c r="M603" t="s">
        <v>1940</v>
      </c>
      <c r="N603" t="s">
        <v>1941</v>
      </c>
      <c r="O603" t="s">
        <v>1942</v>
      </c>
      <c r="P603" t="s">
        <v>1943</v>
      </c>
      <c r="Q603" t="s">
        <v>1944</v>
      </c>
      <c r="R603" t="s">
        <v>1945</v>
      </c>
      <c r="S603" t="s">
        <v>1946</v>
      </c>
      <c r="T603" t="s">
        <v>1947</v>
      </c>
      <c r="U603" t="s">
        <v>1948</v>
      </c>
      <c r="V603" t="s">
        <v>1949</v>
      </c>
      <c r="W603" t="s">
        <v>1950</v>
      </c>
      <c r="X603" t="s">
        <v>1951</v>
      </c>
      <c r="Y603" t="s">
        <v>1952</v>
      </c>
      <c r="Z603" t="s">
        <v>1953</v>
      </c>
      <c r="AA603" t="s">
        <v>1954</v>
      </c>
      <c r="AB603" t="s">
        <v>1955</v>
      </c>
      <c r="AC603" t="s">
        <v>1956</v>
      </c>
      <c r="AD603" t="s">
        <v>1957</v>
      </c>
    </row>
    <row r="604" spans="1:30" x14ac:dyDescent="0.3">
      <c r="A604">
        <v>441</v>
      </c>
      <c r="B604" t="s">
        <v>2438</v>
      </c>
      <c r="C604" t="s">
        <v>1956</v>
      </c>
      <c r="D604">
        <v>28</v>
      </c>
      <c r="E604" t="s">
        <v>2034</v>
      </c>
      <c r="F604">
        <v>81</v>
      </c>
      <c r="G604">
        <v>63</v>
      </c>
      <c r="H604">
        <v>1991</v>
      </c>
      <c r="I604">
        <v>201</v>
      </c>
      <c r="J604">
        <v>428</v>
      </c>
      <c r="K604">
        <v>0.47</v>
      </c>
      <c r="L604">
        <v>0</v>
      </c>
      <c r="M604">
        <v>1</v>
      </c>
      <c r="N604">
        <v>0</v>
      </c>
      <c r="O604">
        <v>201</v>
      </c>
      <c r="P604">
        <v>427</v>
      </c>
      <c r="Q604">
        <v>0.47099999999999997</v>
      </c>
      <c r="R604">
        <v>0.47</v>
      </c>
      <c r="S604">
        <v>89</v>
      </c>
      <c r="T604">
        <v>143</v>
      </c>
      <c r="U604">
        <v>0.622</v>
      </c>
      <c r="V604">
        <v>139</v>
      </c>
      <c r="W604">
        <v>391</v>
      </c>
      <c r="X604">
        <v>530</v>
      </c>
      <c r="Y604">
        <v>85</v>
      </c>
      <c r="Z604">
        <v>33</v>
      </c>
      <c r="AA604">
        <v>57</v>
      </c>
      <c r="AB604">
        <v>84</v>
      </c>
      <c r="AC604">
        <v>239</v>
      </c>
      <c r="AD604">
        <v>491</v>
      </c>
    </row>
    <row r="605" spans="1:30" x14ac:dyDescent="0.3">
      <c r="A605">
        <v>442</v>
      </c>
      <c r="B605" t="s">
        <v>2439</v>
      </c>
      <c r="C605" t="s">
        <v>1961</v>
      </c>
      <c r="D605">
        <v>24</v>
      </c>
      <c r="E605" t="s">
        <v>2010</v>
      </c>
      <c r="F605">
        <v>77</v>
      </c>
      <c r="G605">
        <v>77</v>
      </c>
      <c r="H605">
        <v>2455</v>
      </c>
      <c r="I605">
        <v>602</v>
      </c>
      <c r="J605">
        <v>1299</v>
      </c>
      <c r="K605">
        <v>0.46300000000000002</v>
      </c>
      <c r="L605">
        <v>239</v>
      </c>
      <c r="M605">
        <v>545</v>
      </c>
      <c r="N605">
        <v>0.439</v>
      </c>
      <c r="O605">
        <v>363</v>
      </c>
      <c r="P605">
        <v>754</v>
      </c>
      <c r="Q605">
        <v>0.48099999999999998</v>
      </c>
      <c r="R605">
        <v>0.55500000000000005</v>
      </c>
      <c r="S605">
        <v>225</v>
      </c>
      <c r="T605">
        <v>256</v>
      </c>
      <c r="U605">
        <v>0.879</v>
      </c>
      <c r="V605">
        <v>27</v>
      </c>
      <c r="W605">
        <v>220</v>
      </c>
      <c r="X605">
        <v>247</v>
      </c>
      <c r="Y605">
        <v>222</v>
      </c>
      <c r="Z605">
        <v>87</v>
      </c>
      <c r="AA605">
        <v>60</v>
      </c>
      <c r="AB605">
        <v>149</v>
      </c>
      <c r="AC605">
        <v>122</v>
      </c>
      <c r="AD605">
        <v>1668</v>
      </c>
    </row>
    <row r="606" spans="1:30" x14ac:dyDescent="0.3">
      <c r="A606">
        <v>443</v>
      </c>
      <c r="B606" t="s">
        <v>2440</v>
      </c>
      <c r="C606" t="s">
        <v>1956</v>
      </c>
      <c r="D606">
        <v>23</v>
      </c>
      <c r="E606" t="s">
        <v>1984</v>
      </c>
      <c r="F606">
        <v>82</v>
      </c>
      <c r="G606">
        <v>15</v>
      </c>
      <c r="H606">
        <v>2194</v>
      </c>
      <c r="I606">
        <v>267</v>
      </c>
      <c r="J606">
        <v>488</v>
      </c>
      <c r="K606">
        <v>0.54700000000000004</v>
      </c>
      <c r="L606">
        <v>0</v>
      </c>
      <c r="M606">
        <v>0</v>
      </c>
      <c r="O606">
        <v>267</v>
      </c>
      <c r="P606">
        <v>488</v>
      </c>
      <c r="Q606">
        <v>0.54700000000000004</v>
      </c>
      <c r="R606">
        <v>0.54700000000000004</v>
      </c>
      <c r="S606">
        <v>159</v>
      </c>
      <c r="T606">
        <v>248</v>
      </c>
      <c r="U606">
        <v>0.64100000000000001</v>
      </c>
      <c r="V606">
        <v>274</v>
      </c>
      <c r="W606">
        <v>383</v>
      </c>
      <c r="X606">
        <v>657</v>
      </c>
      <c r="Y606">
        <v>39</v>
      </c>
      <c r="Z606">
        <v>34</v>
      </c>
      <c r="AA606">
        <v>61</v>
      </c>
      <c r="AB606">
        <v>83</v>
      </c>
      <c r="AC606">
        <v>189</v>
      </c>
      <c r="AD606">
        <v>693</v>
      </c>
    </row>
    <row r="607" spans="1:30" x14ac:dyDescent="0.3">
      <c r="A607">
        <v>444</v>
      </c>
      <c r="B607" t="s">
        <v>2441</v>
      </c>
      <c r="C607" t="s">
        <v>1961</v>
      </c>
      <c r="D607">
        <v>27</v>
      </c>
      <c r="E607" t="s">
        <v>1968</v>
      </c>
      <c r="F607">
        <v>48</v>
      </c>
      <c r="G607">
        <v>0</v>
      </c>
      <c r="H607">
        <v>721</v>
      </c>
      <c r="I607">
        <v>140</v>
      </c>
      <c r="J607">
        <v>345</v>
      </c>
      <c r="K607">
        <v>0.40600000000000003</v>
      </c>
      <c r="L607">
        <v>54</v>
      </c>
      <c r="M607">
        <v>143</v>
      </c>
      <c r="N607">
        <v>0.378</v>
      </c>
      <c r="O607">
        <v>86</v>
      </c>
      <c r="P607">
        <v>202</v>
      </c>
      <c r="Q607">
        <v>0.42599999999999999</v>
      </c>
      <c r="R607">
        <v>0.48399999999999999</v>
      </c>
      <c r="S607">
        <v>46</v>
      </c>
      <c r="T607">
        <v>56</v>
      </c>
      <c r="U607">
        <v>0.82099999999999995</v>
      </c>
      <c r="V607">
        <v>23</v>
      </c>
      <c r="W607">
        <v>63</v>
      </c>
      <c r="X607">
        <v>86</v>
      </c>
      <c r="Y607">
        <v>36</v>
      </c>
      <c r="Z607">
        <v>27</v>
      </c>
      <c r="AA607">
        <v>7</v>
      </c>
      <c r="AB607">
        <v>27</v>
      </c>
      <c r="AC607">
        <v>38</v>
      </c>
      <c r="AD607">
        <v>380</v>
      </c>
    </row>
    <row r="608" spans="1:30" x14ac:dyDescent="0.3">
      <c r="A608">
        <v>444</v>
      </c>
      <c r="B608" t="s">
        <v>2441</v>
      </c>
      <c r="C608" t="s">
        <v>1961</v>
      </c>
      <c r="D608">
        <v>27</v>
      </c>
      <c r="E608" t="s">
        <v>2020</v>
      </c>
      <c r="F608">
        <v>39</v>
      </c>
      <c r="G608">
        <v>0</v>
      </c>
      <c r="H608">
        <v>640</v>
      </c>
      <c r="I608">
        <v>127</v>
      </c>
      <c r="J608">
        <v>305</v>
      </c>
      <c r="K608">
        <v>0.41599999999999998</v>
      </c>
      <c r="L608">
        <v>52</v>
      </c>
      <c r="M608">
        <v>124</v>
      </c>
      <c r="N608">
        <v>0.41899999999999998</v>
      </c>
      <c r="O608">
        <v>75</v>
      </c>
      <c r="P608">
        <v>181</v>
      </c>
      <c r="Q608">
        <v>0.41399999999999998</v>
      </c>
      <c r="R608">
        <v>0.502</v>
      </c>
      <c r="S608">
        <v>42</v>
      </c>
      <c r="T608">
        <v>51</v>
      </c>
      <c r="U608">
        <v>0.82399999999999995</v>
      </c>
      <c r="V608">
        <v>19</v>
      </c>
      <c r="W608">
        <v>54</v>
      </c>
      <c r="X608">
        <v>73</v>
      </c>
      <c r="Y608">
        <v>34</v>
      </c>
      <c r="Z608">
        <v>21</v>
      </c>
      <c r="AA608">
        <v>7</v>
      </c>
      <c r="AB608">
        <v>22</v>
      </c>
      <c r="AC608">
        <v>35</v>
      </c>
      <c r="AD608">
        <v>348</v>
      </c>
    </row>
    <row r="609" spans="1:30" x14ac:dyDescent="0.3">
      <c r="A609">
        <v>444</v>
      </c>
      <c r="B609" t="s">
        <v>2441</v>
      </c>
      <c r="C609" t="s">
        <v>1961</v>
      </c>
      <c r="D609">
        <v>27</v>
      </c>
      <c r="E609" t="s">
        <v>2017</v>
      </c>
      <c r="F609">
        <v>9</v>
      </c>
      <c r="G609">
        <v>0</v>
      </c>
      <c r="H609">
        <v>81</v>
      </c>
      <c r="I609">
        <v>13</v>
      </c>
      <c r="J609">
        <v>40</v>
      </c>
      <c r="K609">
        <v>0.32500000000000001</v>
      </c>
      <c r="L609">
        <v>2</v>
      </c>
      <c r="M609">
        <v>19</v>
      </c>
      <c r="N609">
        <v>0.105</v>
      </c>
      <c r="O609">
        <v>11</v>
      </c>
      <c r="P609">
        <v>21</v>
      </c>
      <c r="Q609">
        <v>0.52400000000000002</v>
      </c>
      <c r="R609">
        <v>0.35</v>
      </c>
      <c r="S609">
        <v>4</v>
      </c>
      <c r="T609">
        <v>5</v>
      </c>
      <c r="U609">
        <v>0.8</v>
      </c>
      <c r="V609">
        <v>4</v>
      </c>
      <c r="W609">
        <v>9</v>
      </c>
      <c r="X609">
        <v>13</v>
      </c>
      <c r="Y609">
        <v>2</v>
      </c>
      <c r="Z609">
        <v>6</v>
      </c>
      <c r="AA609">
        <v>0</v>
      </c>
      <c r="AB609">
        <v>5</v>
      </c>
      <c r="AC609">
        <v>3</v>
      </c>
      <c r="AD609">
        <v>32</v>
      </c>
    </row>
    <row r="610" spans="1:30" x14ac:dyDescent="0.3">
      <c r="A610">
        <v>445</v>
      </c>
      <c r="B610" t="s">
        <v>2442</v>
      </c>
      <c r="C610" t="s">
        <v>1956</v>
      </c>
      <c r="D610">
        <v>29</v>
      </c>
      <c r="E610" t="s">
        <v>1968</v>
      </c>
      <c r="F610">
        <v>76</v>
      </c>
      <c r="G610">
        <v>11</v>
      </c>
      <c r="H610">
        <v>1432</v>
      </c>
      <c r="I610">
        <v>161</v>
      </c>
      <c r="J610">
        <v>393</v>
      </c>
      <c r="K610">
        <v>0.41</v>
      </c>
      <c r="L610">
        <v>106</v>
      </c>
      <c r="M610">
        <v>290</v>
      </c>
      <c r="N610">
        <v>0.36599999999999999</v>
      </c>
      <c r="O610">
        <v>55</v>
      </c>
      <c r="P610">
        <v>103</v>
      </c>
      <c r="Q610">
        <v>0.53400000000000003</v>
      </c>
      <c r="R610">
        <v>0.54500000000000004</v>
      </c>
      <c r="S610">
        <v>54</v>
      </c>
      <c r="T610">
        <v>69</v>
      </c>
      <c r="U610">
        <v>0.78300000000000003</v>
      </c>
      <c r="V610">
        <v>51</v>
      </c>
      <c r="W610">
        <v>185</v>
      </c>
      <c r="X610">
        <v>236</v>
      </c>
      <c r="Y610">
        <v>59</v>
      </c>
      <c r="Z610">
        <v>24</v>
      </c>
      <c r="AA610">
        <v>16</v>
      </c>
      <c r="AB610">
        <v>51</v>
      </c>
      <c r="AC610">
        <v>137</v>
      </c>
      <c r="AD610">
        <v>482</v>
      </c>
    </row>
    <row r="611" spans="1:30" x14ac:dyDescent="0.3">
      <c r="A611">
        <v>445</v>
      </c>
      <c r="B611" t="s">
        <v>2442</v>
      </c>
      <c r="C611" t="s">
        <v>1956</v>
      </c>
      <c r="D611">
        <v>29</v>
      </c>
      <c r="E611" t="s">
        <v>2017</v>
      </c>
      <c r="F611">
        <v>24</v>
      </c>
      <c r="G611">
        <v>0</v>
      </c>
      <c r="H611">
        <v>272</v>
      </c>
      <c r="I611">
        <v>26</v>
      </c>
      <c r="J611">
        <v>74</v>
      </c>
      <c r="K611">
        <v>0.35099999999999998</v>
      </c>
      <c r="L611">
        <v>24</v>
      </c>
      <c r="M611">
        <v>62</v>
      </c>
      <c r="N611">
        <v>0.38700000000000001</v>
      </c>
      <c r="O611">
        <v>2</v>
      </c>
      <c r="P611">
        <v>12</v>
      </c>
      <c r="Q611">
        <v>0.16700000000000001</v>
      </c>
      <c r="R611">
        <v>0.51400000000000001</v>
      </c>
      <c r="S611">
        <v>4</v>
      </c>
      <c r="T611">
        <v>6</v>
      </c>
      <c r="U611">
        <v>0.66700000000000004</v>
      </c>
      <c r="V611">
        <v>6</v>
      </c>
      <c r="W611">
        <v>38</v>
      </c>
      <c r="X611">
        <v>44</v>
      </c>
      <c r="Y611">
        <v>10</v>
      </c>
      <c r="Z611">
        <v>4</v>
      </c>
      <c r="AA611">
        <v>1</v>
      </c>
      <c r="AB611">
        <v>11</v>
      </c>
      <c r="AC611">
        <v>20</v>
      </c>
      <c r="AD611">
        <v>80</v>
      </c>
    </row>
    <row r="612" spans="1:30" x14ac:dyDescent="0.3">
      <c r="A612">
        <v>445</v>
      </c>
      <c r="B612" t="s">
        <v>2442</v>
      </c>
      <c r="C612" t="s">
        <v>1956</v>
      </c>
      <c r="D612">
        <v>29</v>
      </c>
      <c r="E612" t="s">
        <v>1996</v>
      </c>
      <c r="F612">
        <v>52</v>
      </c>
      <c r="G612">
        <v>11</v>
      </c>
      <c r="H612">
        <v>1160</v>
      </c>
      <c r="I612">
        <v>135</v>
      </c>
      <c r="J612">
        <v>319</v>
      </c>
      <c r="K612">
        <v>0.42299999999999999</v>
      </c>
      <c r="L612">
        <v>82</v>
      </c>
      <c r="M612">
        <v>228</v>
      </c>
      <c r="N612">
        <v>0.36</v>
      </c>
      <c r="O612">
        <v>53</v>
      </c>
      <c r="P612">
        <v>91</v>
      </c>
      <c r="Q612">
        <v>0.58199999999999996</v>
      </c>
      <c r="R612">
        <v>0.55200000000000005</v>
      </c>
      <c r="S612">
        <v>50</v>
      </c>
      <c r="T612">
        <v>63</v>
      </c>
      <c r="U612">
        <v>0.79400000000000004</v>
      </c>
      <c r="V612">
        <v>45</v>
      </c>
      <c r="W612">
        <v>147</v>
      </c>
      <c r="X612">
        <v>192</v>
      </c>
      <c r="Y612">
        <v>49</v>
      </c>
      <c r="Z612">
        <v>20</v>
      </c>
      <c r="AA612">
        <v>15</v>
      </c>
      <c r="AB612">
        <v>40</v>
      </c>
      <c r="AC612">
        <v>117</v>
      </c>
      <c r="AD612">
        <v>402</v>
      </c>
    </row>
    <row r="613" spans="1:30" x14ac:dyDescent="0.3">
      <c r="A613">
        <v>446</v>
      </c>
      <c r="B613" t="s">
        <v>2443</v>
      </c>
      <c r="C613" t="s">
        <v>1981</v>
      </c>
      <c r="D613">
        <v>29</v>
      </c>
      <c r="E613" t="s">
        <v>2017</v>
      </c>
      <c r="F613">
        <v>78</v>
      </c>
      <c r="G613">
        <v>63</v>
      </c>
      <c r="H613">
        <v>2383</v>
      </c>
      <c r="I613">
        <v>261</v>
      </c>
      <c r="J613">
        <v>596</v>
      </c>
      <c r="K613">
        <v>0.438</v>
      </c>
      <c r="L613">
        <v>87</v>
      </c>
      <c r="M613">
        <v>252</v>
      </c>
      <c r="N613">
        <v>0.34499999999999997</v>
      </c>
      <c r="O613">
        <v>174</v>
      </c>
      <c r="P613">
        <v>344</v>
      </c>
      <c r="Q613">
        <v>0.50600000000000001</v>
      </c>
      <c r="R613">
        <v>0.51100000000000001</v>
      </c>
      <c r="S613">
        <v>104</v>
      </c>
      <c r="T613">
        <v>143</v>
      </c>
      <c r="U613">
        <v>0.72699999999999998</v>
      </c>
      <c r="V613">
        <v>114</v>
      </c>
      <c r="W613">
        <v>388</v>
      </c>
      <c r="X613">
        <v>502</v>
      </c>
      <c r="Y613">
        <v>122</v>
      </c>
      <c r="Z613">
        <v>107</v>
      </c>
      <c r="AA613">
        <v>23</v>
      </c>
      <c r="AB613">
        <v>96</v>
      </c>
      <c r="AC613">
        <v>179</v>
      </c>
      <c r="AD613">
        <v>713</v>
      </c>
    </row>
    <row r="614" spans="1:30" x14ac:dyDescent="0.3">
      <c r="A614">
        <v>447</v>
      </c>
      <c r="B614" t="s">
        <v>2444</v>
      </c>
      <c r="C614" t="s">
        <v>213</v>
      </c>
      <c r="D614">
        <v>32</v>
      </c>
      <c r="E614" t="s">
        <v>1966</v>
      </c>
      <c r="F614">
        <v>2</v>
      </c>
      <c r="G614">
        <v>0</v>
      </c>
      <c r="H614">
        <v>19</v>
      </c>
      <c r="I614">
        <v>0</v>
      </c>
      <c r="J614">
        <v>0</v>
      </c>
      <c r="L614">
        <v>0</v>
      </c>
      <c r="M614">
        <v>0</v>
      </c>
      <c r="O614">
        <v>0</v>
      </c>
      <c r="P614">
        <v>0</v>
      </c>
      <c r="S614">
        <v>0</v>
      </c>
      <c r="T614">
        <v>0</v>
      </c>
      <c r="V614">
        <v>0</v>
      </c>
      <c r="W614">
        <v>1</v>
      </c>
      <c r="X614">
        <v>1</v>
      </c>
      <c r="Y614">
        <v>2</v>
      </c>
      <c r="Z614">
        <v>0</v>
      </c>
      <c r="AA614">
        <v>0</v>
      </c>
      <c r="AB614">
        <v>0</v>
      </c>
      <c r="AC614">
        <v>0</v>
      </c>
      <c r="AD614">
        <v>0</v>
      </c>
    </row>
    <row r="615" spans="1:30" x14ac:dyDescent="0.3">
      <c r="A615">
        <v>448</v>
      </c>
      <c r="B615" t="s">
        <v>2445</v>
      </c>
      <c r="C615" t="s">
        <v>1981</v>
      </c>
      <c r="D615">
        <v>35</v>
      </c>
      <c r="E615" t="s">
        <v>2015</v>
      </c>
      <c r="F615">
        <v>62</v>
      </c>
      <c r="G615">
        <v>2</v>
      </c>
      <c r="H615">
        <v>705</v>
      </c>
      <c r="I615">
        <v>83</v>
      </c>
      <c r="J615">
        <v>188</v>
      </c>
      <c r="K615">
        <v>0.441</v>
      </c>
      <c r="L615">
        <v>60</v>
      </c>
      <c r="M615">
        <v>139</v>
      </c>
      <c r="N615">
        <v>0.432</v>
      </c>
      <c r="O615">
        <v>23</v>
      </c>
      <c r="P615">
        <v>49</v>
      </c>
      <c r="Q615">
        <v>0.46899999999999997</v>
      </c>
      <c r="R615">
        <v>0.60099999999999998</v>
      </c>
      <c r="S615">
        <v>6</v>
      </c>
      <c r="T615">
        <v>11</v>
      </c>
      <c r="U615">
        <v>0.54500000000000004</v>
      </c>
      <c r="V615">
        <v>5</v>
      </c>
      <c r="W615">
        <v>94</v>
      </c>
      <c r="X615">
        <v>99</v>
      </c>
      <c r="Y615">
        <v>37</v>
      </c>
      <c r="Z615">
        <v>19</v>
      </c>
      <c r="AA615">
        <v>7</v>
      </c>
      <c r="AB615">
        <v>29</v>
      </c>
      <c r="AC615">
        <v>66</v>
      </c>
      <c r="AD615">
        <v>232</v>
      </c>
    </row>
    <row r="616" spans="1:30" x14ac:dyDescent="0.3">
      <c r="A616">
        <v>449</v>
      </c>
      <c r="B616" t="s">
        <v>2446</v>
      </c>
      <c r="C616" t="s">
        <v>1961</v>
      </c>
      <c r="D616">
        <v>26</v>
      </c>
      <c r="E616" t="s">
        <v>2020</v>
      </c>
      <c r="F616">
        <v>82</v>
      </c>
      <c r="G616">
        <v>57</v>
      </c>
      <c r="H616">
        <v>2260</v>
      </c>
      <c r="I616">
        <v>320</v>
      </c>
      <c r="J616">
        <v>746</v>
      </c>
      <c r="K616">
        <v>0.42899999999999999</v>
      </c>
      <c r="L616">
        <v>33</v>
      </c>
      <c r="M616">
        <v>119</v>
      </c>
      <c r="N616">
        <v>0.27700000000000002</v>
      </c>
      <c r="O616">
        <v>287</v>
      </c>
      <c r="P616">
        <v>627</v>
      </c>
      <c r="Q616">
        <v>0.45800000000000002</v>
      </c>
      <c r="R616">
        <v>0.45100000000000001</v>
      </c>
      <c r="S616">
        <v>106</v>
      </c>
      <c r="T616">
        <v>141</v>
      </c>
      <c r="U616">
        <v>0.752</v>
      </c>
      <c r="V616">
        <v>40</v>
      </c>
      <c r="W616">
        <v>377</v>
      </c>
      <c r="X616">
        <v>417</v>
      </c>
      <c r="Y616">
        <v>449</v>
      </c>
      <c r="Z616">
        <v>83</v>
      </c>
      <c r="AA616">
        <v>19</v>
      </c>
      <c r="AB616">
        <v>198</v>
      </c>
      <c r="AC616">
        <v>180</v>
      </c>
      <c r="AD616">
        <v>779</v>
      </c>
    </row>
    <row r="617" spans="1:30" x14ac:dyDescent="0.3">
      <c r="A617">
        <v>450</v>
      </c>
      <c r="B617" t="s">
        <v>2447</v>
      </c>
      <c r="C617" t="s">
        <v>1956</v>
      </c>
      <c r="D617">
        <v>27</v>
      </c>
      <c r="E617" t="s">
        <v>2015</v>
      </c>
      <c r="F617">
        <v>33</v>
      </c>
      <c r="G617">
        <v>0</v>
      </c>
      <c r="H617">
        <v>128</v>
      </c>
      <c r="I617">
        <v>11</v>
      </c>
      <c r="J617">
        <v>24</v>
      </c>
      <c r="K617">
        <v>0.45800000000000002</v>
      </c>
      <c r="L617">
        <v>0</v>
      </c>
      <c r="M617">
        <v>0</v>
      </c>
      <c r="O617">
        <v>11</v>
      </c>
      <c r="P617">
        <v>24</v>
      </c>
      <c r="Q617">
        <v>0.45800000000000002</v>
      </c>
      <c r="R617">
        <v>0.45800000000000002</v>
      </c>
      <c r="S617">
        <v>7</v>
      </c>
      <c r="T617">
        <v>9</v>
      </c>
      <c r="U617">
        <v>0.77800000000000002</v>
      </c>
      <c r="V617">
        <v>7</v>
      </c>
      <c r="W617">
        <v>19</v>
      </c>
      <c r="X617">
        <v>26</v>
      </c>
      <c r="Y617">
        <v>8</v>
      </c>
      <c r="Z617">
        <v>8</v>
      </c>
      <c r="AA617">
        <v>7</v>
      </c>
      <c r="AB617">
        <v>7</v>
      </c>
      <c r="AC617">
        <v>20</v>
      </c>
      <c r="AD617">
        <v>29</v>
      </c>
    </row>
    <row r="618" spans="1:30" x14ac:dyDescent="0.3">
      <c r="A618">
        <v>451</v>
      </c>
      <c r="B618" t="s">
        <v>2448</v>
      </c>
      <c r="C618" t="s">
        <v>2004</v>
      </c>
      <c r="D618">
        <v>32</v>
      </c>
      <c r="E618" t="s">
        <v>1962</v>
      </c>
      <c r="F618">
        <v>79</v>
      </c>
      <c r="G618">
        <v>12</v>
      </c>
      <c r="H618">
        <v>1494</v>
      </c>
      <c r="I618">
        <v>246</v>
      </c>
      <c r="J618">
        <v>505</v>
      </c>
      <c r="K618">
        <v>0.48699999999999999</v>
      </c>
      <c r="L618">
        <v>26</v>
      </c>
      <c r="M618">
        <v>97</v>
      </c>
      <c r="N618">
        <v>0.26800000000000002</v>
      </c>
      <c r="O618">
        <v>220</v>
      </c>
      <c r="P618">
        <v>408</v>
      </c>
      <c r="Q618">
        <v>0.53900000000000003</v>
      </c>
      <c r="R618">
        <v>0.51300000000000001</v>
      </c>
      <c r="S618">
        <v>87</v>
      </c>
      <c r="T618">
        <v>102</v>
      </c>
      <c r="U618">
        <v>0.85299999999999998</v>
      </c>
      <c r="V618">
        <v>20</v>
      </c>
      <c r="W618">
        <v>123</v>
      </c>
      <c r="X618">
        <v>143</v>
      </c>
      <c r="Y618">
        <v>220</v>
      </c>
      <c r="Z618">
        <v>46</v>
      </c>
      <c r="AA618">
        <v>8</v>
      </c>
      <c r="AB618">
        <v>89</v>
      </c>
      <c r="AC618">
        <v>88</v>
      </c>
      <c r="AD618">
        <v>605</v>
      </c>
    </row>
    <row r="619" spans="1:30" x14ac:dyDescent="0.3">
      <c r="A619">
        <v>452</v>
      </c>
      <c r="B619" t="s">
        <v>2449</v>
      </c>
      <c r="C619" t="s">
        <v>213</v>
      </c>
      <c r="D619">
        <v>22</v>
      </c>
      <c r="E619" t="s">
        <v>2068</v>
      </c>
      <c r="F619">
        <v>80</v>
      </c>
      <c r="G619">
        <v>80</v>
      </c>
      <c r="H619">
        <v>2096</v>
      </c>
      <c r="I619">
        <v>373</v>
      </c>
      <c r="J619">
        <v>652</v>
      </c>
      <c r="K619">
        <v>0.57199999999999995</v>
      </c>
      <c r="L619">
        <v>0</v>
      </c>
      <c r="M619">
        <v>1</v>
      </c>
      <c r="N619">
        <v>0</v>
      </c>
      <c r="O619">
        <v>373</v>
      </c>
      <c r="P619">
        <v>651</v>
      </c>
      <c r="Q619">
        <v>0.57299999999999995</v>
      </c>
      <c r="R619">
        <v>0.57199999999999995</v>
      </c>
      <c r="S619">
        <v>217</v>
      </c>
      <c r="T619">
        <v>276</v>
      </c>
      <c r="U619">
        <v>0.78600000000000003</v>
      </c>
      <c r="V619">
        <v>215</v>
      </c>
      <c r="W619">
        <v>478</v>
      </c>
      <c r="X619">
        <v>693</v>
      </c>
      <c r="Y619">
        <v>39</v>
      </c>
      <c r="Z619">
        <v>33</v>
      </c>
      <c r="AA619">
        <v>95</v>
      </c>
      <c r="AB619">
        <v>109</v>
      </c>
      <c r="AC619">
        <v>222</v>
      </c>
      <c r="AD619">
        <v>963</v>
      </c>
    </row>
    <row r="620" spans="1:30" x14ac:dyDescent="0.3">
      <c r="A620">
        <v>453</v>
      </c>
      <c r="B620" t="s">
        <v>2450</v>
      </c>
      <c r="C620" t="s">
        <v>213</v>
      </c>
      <c r="D620">
        <v>32</v>
      </c>
      <c r="E620" t="s">
        <v>1984</v>
      </c>
      <c r="F620">
        <v>26</v>
      </c>
      <c r="G620">
        <v>26</v>
      </c>
      <c r="H620">
        <v>636</v>
      </c>
      <c r="I620">
        <v>111</v>
      </c>
      <c r="J620">
        <v>200</v>
      </c>
      <c r="K620">
        <v>0.55500000000000005</v>
      </c>
      <c r="L620">
        <v>0</v>
      </c>
      <c r="M620">
        <v>2</v>
      </c>
      <c r="N620">
        <v>0</v>
      </c>
      <c r="O620">
        <v>111</v>
      </c>
      <c r="P620">
        <v>198</v>
      </c>
      <c r="Q620">
        <v>0.56100000000000005</v>
      </c>
      <c r="R620">
        <v>0.55500000000000005</v>
      </c>
      <c r="S620">
        <v>33</v>
      </c>
      <c r="T620">
        <v>45</v>
      </c>
      <c r="U620">
        <v>0.73299999999999998</v>
      </c>
      <c r="V620">
        <v>57</v>
      </c>
      <c r="W620">
        <v>113</v>
      </c>
      <c r="X620">
        <v>170</v>
      </c>
      <c r="Y620">
        <v>35</v>
      </c>
      <c r="Z620">
        <v>19</v>
      </c>
      <c r="AA620">
        <v>16</v>
      </c>
      <c r="AB620">
        <v>35</v>
      </c>
      <c r="AC620">
        <v>58</v>
      </c>
      <c r="AD620">
        <v>255</v>
      </c>
    </row>
    <row r="621" spans="1:30" x14ac:dyDescent="0.3">
      <c r="A621">
        <v>454</v>
      </c>
      <c r="B621" t="s">
        <v>2451</v>
      </c>
      <c r="C621" t="s">
        <v>2004</v>
      </c>
      <c r="D621">
        <v>28</v>
      </c>
      <c r="E621" t="s">
        <v>2068</v>
      </c>
      <c r="F621">
        <v>82</v>
      </c>
      <c r="G621">
        <v>29</v>
      </c>
      <c r="H621">
        <v>1991</v>
      </c>
      <c r="I621">
        <v>296</v>
      </c>
      <c r="J621">
        <v>725</v>
      </c>
      <c r="K621">
        <v>0.40799999999999997</v>
      </c>
      <c r="L621">
        <v>133</v>
      </c>
      <c r="M621">
        <v>351</v>
      </c>
      <c r="N621">
        <v>0.379</v>
      </c>
      <c r="O621">
        <v>163</v>
      </c>
      <c r="P621">
        <v>374</v>
      </c>
      <c r="Q621">
        <v>0.436</v>
      </c>
      <c r="R621">
        <v>0.5</v>
      </c>
      <c r="S621">
        <v>50</v>
      </c>
      <c r="T621">
        <v>66</v>
      </c>
      <c r="U621">
        <v>0.75800000000000001</v>
      </c>
      <c r="V621">
        <v>22</v>
      </c>
      <c r="W621">
        <v>194</v>
      </c>
      <c r="X621">
        <v>216</v>
      </c>
      <c r="Y621">
        <v>302</v>
      </c>
      <c r="Z621">
        <v>46</v>
      </c>
      <c r="AA621">
        <v>10</v>
      </c>
      <c r="AB621">
        <v>119</v>
      </c>
      <c r="AC621">
        <v>177</v>
      </c>
      <c r="AD621">
        <v>775</v>
      </c>
    </row>
    <row r="622" spans="1:30" x14ac:dyDescent="0.3">
      <c r="A622">
        <v>455</v>
      </c>
      <c r="B622" t="s">
        <v>2452</v>
      </c>
      <c r="C622" t="s">
        <v>1956</v>
      </c>
      <c r="D622">
        <v>30</v>
      </c>
      <c r="E622" t="s">
        <v>1982</v>
      </c>
      <c r="F622">
        <v>64</v>
      </c>
      <c r="G622">
        <v>1</v>
      </c>
      <c r="H622">
        <v>678</v>
      </c>
      <c r="I622">
        <v>150</v>
      </c>
      <c r="J622">
        <v>362</v>
      </c>
      <c r="K622">
        <v>0.41399999999999998</v>
      </c>
      <c r="L622">
        <v>83</v>
      </c>
      <c r="M622">
        <v>221</v>
      </c>
      <c r="N622">
        <v>0.376</v>
      </c>
      <c r="O622">
        <v>67</v>
      </c>
      <c r="P622">
        <v>141</v>
      </c>
      <c r="Q622">
        <v>0.47499999999999998</v>
      </c>
      <c r="R622">
        <v>0.52900000000000003</v>
      </c>
      <c r="S622">
        <v>20</v>
      </c>
      <c r="T622">
        <v>35</v>
      </c>
      <c r="U622">
        <v>0.57099999999999995</v>
      </c>
      <c r="V622">
        <v>30</v>
      </c>
      <c r="W622">
        <v>119</v>
      </c>
      <c r="X622">
        <v>149</v>
      </c>
      <c r="Y622">
        <v>19</v>
      </c>
      <c r="Z622">
        <v>15</v>
      </c>
      <c r="AA622">
        <v>22</v>
      </c>
      <c r="AB622">
        <v>28</v>
      </c>
      <c r="AC622">
        <v>64</v>
      </c>
      <c r="AD622">
        <v>403</v>
      </c>
    </row>
    <row r="623" spans="1:30" x14ac:dyDescent="0.3">
      <c r="A623">
        <v>456</v>
      </c>
      <c r="B623" t="s">
        <v>2453</v>
      </c>
      <c r="C623" t="s">
        <v>1956</v>
      </c>
      <c r="D623">
        <v>19</v>
      </c>
      <c r="E623" t="s">
        <v>2036</v>
      </c>
      <c r="F623">
        <v>25</v>
      </c>
      <c r="G623">
        <v>0</v>
      </c>
      <c r="H623">
        <v>259</v>
      </c>
      <c r="I623">
        <v>30</v>
      </c>
      <c r="J623">
        <v>76</v>
      </c>
      <c r="K623">
        <v>0.39500000000000002</v>
      </c>
      <c r="L623">
        <v>5</v>
      </c>
      <c r="M623">
        <v>13</v>
      </c>
      <c r="N623">
        <v>0.38500000000000001</v>
      </c>
      <c r="O623">
        <v>25</v>
      </c>
      <c r="P623">
        <v>63</v>
      </c>
      <c r="Q623">
        <v>0.39700000000000002</v>
      </c>
      <c r="R623">
        <v>0.42799999999999999</v>
      </c>
      <c r="S623">
        <v>18</v>
      </c>
      <c r="T623">
        <v>26</v>
      </c>
      <c r="U623">
        <v>0.69199999999999995</v>
      </c>
      <c r="V623">
        <v>28</v>
      </c>
      <c r="W623">
        <v>58</v>
      </c>
      <c r="X623">
        <v>86</v>
      </c>
      <c r="Y623">
        <v>4</v>
      </c>
      <c r="Z623">
        <v>4</v>
      </c>
      <c r="AA623">
        <v>9</v>
      </c>
      <c r="AB623">
        <v>11</v>
      </c>
      <c r="AC623">
        <v>20</v>
      </c>
      <c r="AD623">
        <v>83</v>
      </c>
    </row>
    <row r="624" spans="1:30" x14ac:dyDescent="0.3">
      <c r="A624">
        <v>457</v>
      </c>
      <c r="B624" t="s">
        <v>2454</v>
      </c>
      <c r="C624" t="s">
        <v>213</v>
      </c>
      <c r="D624">
        <v>24</v>
      </c>
      <c r="E624" t="s">
        <v>2113</v>
      </c>
      <c r="F624">
        <v>74</v>
      </c>
      <c r="G624">
        <v>74</v>
      </c>
      <c r="H624">
        <v>2529</v>
      </c>
      <c r="I624">
        <v>631</v>
      </c>
      <c r="J624">
        <v>1206</v>
      </c>
      <c r="K624">
        <v>0.52300000000000002</v>
      </c>
      <c r="L624">
        <v>2</v>
      </c>
      <c r="M624">
        <v>6</v>
      </c>
      <c r="N624">
        <v>0.33300000000000002</v>
      </c>
      <c r="O624">
        <v>629</v>
      </c>
      <c r="P624">
        <v>1200</v>
      </c>
      <c r="Q624">
        <v>0.52400000000000002</v>
      </c>
      <c r="R624">
        <v>0.52400000000000002</v>
      </c>
      <c r="S624">
        <v>164</v>
      </c>
      <c r="T624">
        <v>218</v>
      </c>
      <c r="U624">
        <v>0.752</v>
      </c>
      <c r="V624">
        <v>238</v>
      </c>
      <c r="W624">
        <v>572</v>
      </c>
      <c r="X624">
        <v>810</v>
      </c>
      <c r="Y624">
        <v>147</v>
      </c>
      <c r="Z624">
        <v>54</v>
      </c>
      <c r="AA624">
        <v>54</v>
      </c>
      <c r="AB624">
        <v>148</v>
      </c>
      <c r="AC624">
        <v>220</v>
      </c>
      <c r="AD624">
        <v>1428</v>
      </c>
    </row>
    <row r="625" spans="1:30" x14ac:dyDescent="0.3">
      <c r="A625">
        <v>458</v>
      </c>
      <c r="B625" t="s">
        <v>2455</v>
      </c>
      <c r="C625" t="s">
        <v>1961</v>
      </c>
      <c r="D625">
        <v>33</v>
      </c>
      <c r="E625" t="s">
        <v>1986</v>
      </c>
      <c r="F625">
        <v>62</v>
      </c>
      <c r="G625">
        <v>62</v>
      </c>
      <c r="H625">
        <v>1971</v>
      </c>
      <c r="I625">
        <v>509</v>
      </c>
      <c r="J625">
        <v>1084</v>
      </c>
      <c r="K625">
        <v>0.47</v>
      </c>
      <c r="L625">
        <v>29</v>
      </c>
      <c r="M625">
        <v>102</v>
      </c>
      <c r="N625">
        <v>0.28399999999999997</v>
      </c>
      <c r="O625">
        <v>480</v>
      </c>
      <c r="P625">
        <v>982</v>
      </c>
      <c r="Q625">
        <v>0.48899999999999999</v>
      </c>
      <c r="R625">
        <v>0.48299999999999998</v>
      </c>
      <c r="S625">
        <v>284</v>
      </c>
      <c r="T625">
        <v>370</v>
      </c>
      <c r="U625">
        <v>0.76800000000000002</v>
      </c>
      <c r="V625">
        <v>58</v>
      </c>
      <c r="W625">
        <v>161</v>
      </c>
      <c r="X625">
        <v>219</v>
      </c>
      <c r="Y625">
        <v>299</v>
      </c>
      <c r="Z625">
        <v>73</v>
      </c>
      <c r="AA625">
        <v>21</v>
      </c>
      <c r="AB625">
        <v>209</v>
      </c>
      <c r="AC625">
        <v>105</v>
      </c>
      <c r="AD625">
        <v>1331</v>
      </c>
    </row>
    <row r="626" spans="1:30" x14ac:dyDescent="0.3">
      <c r="A626">
        <v>459</v>
      </c>
      <c r="B626" t="s">
        <v>2456</v>
      </c>
      <c r="C626" t="s">
        <v>1961</v>
      </c>
      <c r="D626">
        <v>23</v>
      </c>
      <c r="E626" t="s">
        <v>1968</v>
      </c>
      <c r="F626">
        <v>80</v>
      </c>
      <c r="G626">
        <v>23</v>
      </c>
      <c r="H626">
        <v>2208</v>
      </c>
      <c r="I626">
        <v>375</v>
      </c>
      <c r="J626">
        <v>946</v>
      </c>
      <c r="K626">
        <v>0.39600000000000002</v>
      </c>
      <c r="L626">
        <v>73</v>
      </c>
      <c r="M626">
        <v>246</v>
      </c>
      <c r="N626">
        <v>0.29699999999999999</v>
      </c>
      <c r="O626">
        <v>302</v>
      </c>
      <c r="P626">
        <v>700</v>
      </c>
      <c r="Q626">
        <v>0.43099999999999999</v>
      </c>
      <c r="R626">
        <v>0.435</v>
      </c>
      <c r="S626">
        <v>117</v>
      </c>
      <c r="T626">
        <v>172</v>
      </c>
      <c r="U626">
        <v>0.68</v>
      </c>
      <c r="V626">
        <v>41</v>
      </c>
      <c r="W626">
        <v>151</v>
      </c>
      <c r="X626">
        <v>192</v>
      </c>
      <c r="Y626">
        <v>163</v>
      </c>
      <c r="Z626">
        <v>90</v>
      </c>
      <c r="AA626">
        <v>21</v>
      </c>
      <c r="AB626">
        <v>113</v>
      </c>
      <c r="AC626">
        <v>155</v>
      </c>
      <c r="AD626">
        <v>940</v>
      </c>
    </row>
    <row r="627" spans="1:30" x14ac:dyDescent="0.3">
      <c r="A627">
        <v>459</v>
      </c>
      <c r="B627" t="s">
        <v>2456</v>
      </c>
      <c r="C627" t="s">
        <v>1961</v>
      </c>
      <c r="D627">
        <v>23</v>
      </c>
      <c r="E627" t="s">
        <v>1984</v>
      </c>
      <c r="F627">
        <v>33</v>
      </c>
      <c r="G627">
        <v>3</v>
      </c>
      <c r="H627">
        <v>786</v>
      </c>
      <c r="I627">
        <v>138</v>
      </c>
      <c r="J627">
        <v>342</v>
      </c>
      <c r="K627">
        <v>0.40400000000000003</v>
      </c>
      <c r="L627">
        <v>22</v>
      </c>
      <c r="M627">
        <v>86</v>
      </c>
      <c r="N627">
        <v>0.25600000000000001</v>
      </c>
      <c r="O627">
        <v>116</v>
      </c>
      <c r="P627">
        <v>256</v>
      </c>
      <c r="Q627">
        <v>0.45300000000000001</v>
      </c>
      <c r="R627">
        <v>0.436</v>
      </c>
      <c r="S627">
        <v>47</v>
      </c>
      <c r="T627">
        <v>60</v>
      </c>
      <c r="U627">
        <v>0.78300000000000003</v>
      </c>
      <c r="V627">
        <v>12</v>
      </c>
      <c r="W627">
        <v>45</v>
      </c>
      <c r="X627">
        <v>57</v>
      </c>
      <c r="Y627">
        <v>74</v>
      </c>
      <c r="Z627">
        <v>44</v>
      </c>
      <c r="AA627">
        <v>10</v>
      </c>
      <c r="AB627">
        <v>50</v>
      </c>
      <c r="AC627">
        <v>59</v>
      </c>
      <c r="AD627">
        <v>345</v>
      </c>
    </row>
    <row r="628" spans="1:30" x14ac:dyDescent="0.3">
      <c r="A628">
        <v>459</v>
      </c>
      <c r="B628" t="s">
        <v>2456</v>
      </c>
      <c r="C628" t="s">
        <v>1961</v>
      </c>
      <c r="D628">
        <v>23</v>
      </c>
      <c r="E628" t="s">
        <v>1964</v>
      </c>
      <c r="F628">
        <v>47</v>
      </c>
      <c r="G628">
        <v>20</v>
      </c>
      <c r="H628">
        <v>1422</v>
      </c>
      <c r="I628">
        <v>237</v>
      </c>
      <c r="J628">
        <v>604</v>
      </c>
      <c r="K628">
        <v>0.39200000000000002</v>
      </c>
      <c r="L628">
        <v>51</v>
      </c>
      <c r="M628">
        <v>160</v>
      </c>
      <c r="N628">
        <v>0.31900000000000001</v>
      </c>
      <c r="O628">
        <v>186</v>
      </c>
      <c r="P628">
        <v>444</v>
      </c>
      <c r="Q628">
        <v>0.41899999999999998</v>
      </c>
      <c r="R628">
        <v>0.435</v>
      </c>
      <c r="S628">
        <v>70</v>
      </c>
      <c r="T628">
        <v>112</v>
      </c>
      <c r="U628">
        <v>0.625</v>
      </c>
      <c r="V628">
        <v>29</v>
      </c>
      <c r="W628">
        <v>106</v>
      </c>
      <c r="X628">
        <v>135</v>
      </c>
      <c r="Y628">
        <v>89</v>
      </c>
      <c r="Z628">
        <v>46</v>
      </c>
      <c r="AA628">
        <v>11</v>
      </c>
      <c r="AB628">
        <v>63</v>
      </c>
      <c r="AC628">
        <v>96</v>
      </c>
      <c r="AD628">
        <v>595</v>
      </c>
    </row>
    <row r="629" spans="1:30" x14ac:dyDescent="0.3">
      <c r="A629">
        <v>460</v>
      </c>
      <c r="B629" t="s">
        <v>2457</v>
      </c>
      <c r="C629" t="s">
        <v>1981</v>
      </c>
      <c r="D629">
        <v>27</v>
      </c>
      <c r="E629" t="s">
        <v>1986</v>
      </c>
      <c r="F629">
        <v>24</v>
      </c>
      <c r="G629">
        <v>13</v>
      </c>
      <c r="H629">
        <v>628</v>
      </c>
      <c r="I629">
        <v>58</v>
      </c>
      <c r="J629">
        <v>168</v>
      </c>
      <c r="K629">
        <v>0.34499999999999997</v>
      </c>
      <c r="L629">
        <v>45</v>
      </c>
      <c r="M629">
        <v>132</v>
      </c>
      <c r="N629">
        <v>0.34100000000000003</v>
      </c>
      <c r="O629">
        <v>13</v>
      </c>
      <c r="P629">
        <v>36</v>
      </c>
      <c r="Q629">
        <v>0.36099999999999999</v>
      </c>
      <c r="R629">
        <v>0.47899999999999998</v>
      </c>
      <c r="S629">
        <v>14</v>
      </c>
      <c r="T629">
        <v>18</v>
      </c>
      <c r="U629">
        <v>0.77800000000000002</v>
      </c>
      <c r="V629">
        <v>7</v>
      </c>
      <c r="W629">
        <v>75</v>
      </c>
      <c r="X629">
        <v>82</v>
      </c>
      <c r="Y629">
        <v>29</v>
      </c>
      <c r="Z629">
        <v>24</v>
      </c>
      <c r="AA629">
        <v>9</v>
      </c>
      <c r="AB629">
        <v>24</v>
      </c>
      <c r="AC629">
        <v>76</v>
      </c>
      <c r="AD629">
        <v>175</v>
      </c>
    </row>
    <row r="630" spans="1:30" x14ac:dyDescent="0.3">
      <c r="A630" t="s">
        <v>1929</v>
      </c>
      <c r="B630" t="s">
        <v>1930</v>
      </c>
      <c r="C630" t="s">
        <v>1931</v>
      </c>
      <c r="D630" t="s">
        <v>198</v>
      </c>
      <c r="E630" t="s">
        <v>1932</v>
      </c>
      <c r="F630" t="s">
        <v>1933</v>
      </c>
      <c r="G630" t="s">
        <v>1934</v>
      </c>
      <c r="H630" t="s">
        <v>1935</v>
      </c>
      <c r="I630" t="s">
        <v>1936</v>
      </c>
      <c r="J630" t="s">
        <v>1937</v>
      </c>
      <c r="K630" t="s">
        <v>1938</v>
      </c>
      <c r="L630" t="s">
        <v>1939</v>
      </c>
      <c r="M630" t="s">
        <v>1940</v>
      </c>
      <c r="N630" t="s">
        <v>1941</v>
      </c>
      <c r="O630" t="s">
        <v>1942</v>
      </c>
      <c r="P630" t="s">
        <v>1943</v>
      </c>
      <c r="Q630" t="s">
        <v>1944</v>
      </c>
      <c r="R630" t="s">
        <v>1945</v>
      </c>
      <c r="S630" t="s">
        <v>1946</v>
      </c>
      <c r="T630" t="s">
        <v>1947</v>
      </c>
      <c r="U630" t="s">
        <v>1948</v>
      </c>
      <c r="V630" t="s">
        <v>1949</v>
      </c>
      <c r="W630" t="s">
        <v>1950</v>
      </c>
      <c r="X630" t="s">
        <v>1951</v>
      </c>
      <c r="Y630" t="s">
        <v>1952</v>
      </c>
      <c r="Z630" t="s">
        <v>1953</v>
      </c>
      <c r="AA630" t="s">
        <v>1954</v>
      </c>
      <c r="AB630" t="s">
        <v>1955</v>
      </c>
      <c r="AC630" t="s">
        <v>1956</v>
      </c>
      <c r="AD630" t="s">
        <v>1957</v>
      </c>
    </row>
    <row r="631" spans="1:30" x14ac:dyDescent="0.3">
      <c r="A631">
        <v>461</v>
      </c>
      <c r="B631" t="s">
        <v>2458</v>
      </c>
      <c r="C631" t="s">
        <v>2004</v>
      </c>
      <c r="D631">
        <v>24</v>
      </c>
      <c r="E631" t="s">
        <v>2036</v>
      </c>
      <c r="F631">
        <v>62</v>
      </c>
      <c r="G631">
        <v>58</v>
      </c>
      <c r="H631">
        <v>2119</v>
      </c>
      <c r="I631">
        <v>378</v>
      </c>
      <c r="J631">
        <v>981</v>
      </c>
      <c r="K631">
        <v>0.38500000000000001</v>
      </c>
      <c r="L631">
        <v>85</v>
      </c>
      <c r="M631">
        <v>280</v>
      </c>
      <c r="N631">
        <v>0.30399999999999999</v>
      </c>
      <c r="O631">
        <v>293</v>
      </c>
      <c r="P631">
        <v>701</v>
      </c>
      <c r="Q631">
        <v>0.41799999999999998</v>
      </c>
      <c r="R631">
        <v>0.42899999999999999</v>
      </c>
      <c r="S631">
        <v>234</v>
      </c>
      <c r="T631">
        <v>283</v>
      </c>
      <c r="U631">
        <v>0.82699999999999996</v>
      </c>
      <c r="V631">
        <v>35</v>
      </c>
      <c r="W631">
        <v>185</v>
      </c>
      <c r="X631">
        <v>220</v>
      </c>
      <c r="Y631">
        <v>318</v>
      </c>
      <c r="Z631">
        <v>89</v>
      </c>
      <c r="AA631">
        <v>31</v>
      </c>
      <c r="AB631">
        <v>100</v>
      </c>
      <c r="AC631">
        <v>92</v>
      </c>
      <c r="AD631">
        <v>1075</v>
      </c>
    </row>
    <row r="632" spans="1:30" x14ac:dyDescent="0.3">
      <c r="A632">
        <v>462</v>
      </c>
      <c r="B632" t="s">
        <v>2459</v>
      </c>
      <c r="C632" t="s">
        <v>2004</v>
      </c>
      <c r="D632">
        <v>24</v>
      </c>
      <c r="E632" t="s">
        <v>2026</v>
      </c>
      <c r="F632">
        <v>79</v>
      </c>
      <c r="G632">
        <v>79</v>
      </c>
      <c r="H632">
        <v>2837</v>
      </c>
      <c r="I632">
        <v>519</v>
      </c>
      <c r="J632">
        <v>1166</v>
      </c>
      <c r="K632">
        <v>0.44500000000000001</v>
      </c>
      <c r="L632">
        <v>65</v>
      </c>
      <c r="M632">
        <v>217</v>
      </c>
      <c r="N632">
        <v>0.3</v>
      </c>
      <c r="O632">
        <v>454</v>
      </c>
      <c r="P632">
        <v>949</v>
      </c>
      <c r="Q632">
        <v>0.47799999999999998</v>
      </c>
      <c r="R632">
        <v>0.47299999999999998</v>
      </c>
      <c r="S632">
        <v>284</v>
      </c>
      <c r="T632">
        <v>362</v>
      </c>
      <c r="U632">
        <v>0.78500000000000003</v>
      </c>
      <c r="V632">
        <v>36</v>
      </c>
      <c r="W632">
        <v>330</v>
      </c>
      <c r="X632">
        <v>366</v>
      </c>
      <c r="Y632">
        <v>792</v>
      </c>
      <c r="Z632">
        <v>138</v>
      </c>
      <c r="AA632">
        <v>45</v>
      </c>
      <c r="AB632">
        <v>304</v>
      </c>
      <c r="AC632">
        <v>180</v>
      </c>
      <c r="AD632">
        <v>1387</v>
      </c>
    </row>
    <row r="633" spans="1:30" x14ac:dyDescent="0.3">
      <c r="A633">
        <v>463</v>
      </c>
      <c r="B633" t="s">
        <v>2460</v>
      </c>
      <c r="C633" t="s">
        <v>1981</v>
      </c>
      <c r="D633">
        <v>32</v>
      </c>
      <c r="E633" t="s">
        <v>2020</v>
      </c>
      <c r="F633">
        <v>32</v>
      </c>
      <c r="G633">
        <v>0</v>
      </c>
      <c r="H633">
        <v>286</v>
      </c>
      <c r="I633">
        <v>14</v>
      </c>
      <c r="J633">
        <v>34</v>
      </c>
      <c r="K633">
        <v>0.41199999999999998</v>
      </c>
      <c r="L633">
        <v>1</v>
      </c>
      <c r="M633">
        <v>3</v>
      </c>
      <c r="N633">
        <v>0.33300000000000002</v>
      </c>
      <c r="O633">
        <v>13</v>
      </c>
      <c r="P633">
        <v>31</v>
      </c>
      <c r="Q633">
        <v>0.41899999999999998</v>
      </c>
      <c r="R633">
        <v>0.42599999999999999</v>
      </c>
      <c r="S633">
        <v>6</v>
      </c>
      <c r="T633">
        <v>15</v>
      </c>
      <c r="U633">
        <v>0.4</v>
      </c>
      <c r="V633">
        <v>17</v>
      </c>
      <c r="W633">
        <v>40</v>
      </c>
      <c r="X633">
        <v>57</v>
      </c>
      <c r="Y633">
        <v>11</v>
      </c>
      <c r="Z633">
        <v>15</v>
      </c>
      <c r="AA633">
        <v>4</v>
      </c>
      <c r="AB633">
        <v>18</v>
      </c>
      <c r="AC633">
        <v>19</v>
      </c>
      <c r="AD633">
        <v>35</v>
      </c>
    </row>
    <row r="634" spans="1:30" x14ac:dyDescent="0.3">
      <c r="A634">
        <v>464</v>
      </c>
      <c r="B634" t="s">
        <v>2461</v>
      </c>
      <c r="C634" t="s">
        <v>1981</v>
      </c>
      <c r="D634">
        <v>21</v>
      </c>
      <c r="E634" t="s">
        <v>2017</v>
      </c>
      <c r="F634">
        <v>40</v>
      </c>
      <c r="G634">
        <v>1</v>
      </c>
      <c r="H634">
        <v>614</v>
      </c>
      <c r="I634">
        <v>113</v>
      </c>
      <c r="J634">
        <v>214</v>
      </c>
      <c r="K634">
        <v>0.52800000000000002</v>
      </c>
      <c r="L634">
        <v>5</v>
      </c>
      <c r="M634">
        <v>21</v>
      </c>
      <c r="N634">
        <v>0.23799999999999999</v>
      </c>
      <c r="O634">
        <v>108</v>
      </c>
      <c r="P634">
        <v>193</v>
      </c>
      <c r="Q634">
        <v>0.56000000000000005</v>
      </c>
      <c r="R634">
        <v>0.54</v>
      </c>
      <c r="S634">
        <v>14</v>
      </c>
      <c r="T634">
        <v>19</v>
      </c>
      <c r="U634">
        <v>0.73699999999999999</v>
      </c>
      <c r="V634">
        <v>41</v>
      </c>
      <c r="W634">
        <v>44</v>
      </c>
      <c r="X634">
        <v>85</v>
      </c>
      <c r="Y634">
        <v>25</v>
      </c>
      <c r="Z634">
        <v>18</v>
      </c>
      <c r="AA634">
        <v>9</v>
      </c>
      <c r="AB634">
        <v>27</v>
      </c>
      <c r="AC634">
        <v>51</v>
      </c>
      <c r="AD634">
        <v>245</v>
      </c>
    </row>
    <row r="635" spans="1:30" x14ac:dyDescent="0.3">
      <c r="A635">
        <v>465</v>
      </c>
      <c r="B635" t="s">
        <v>2462</v>
      </c>
      <c r="C635" t="s">
        <v>2004</v>
      </c>
      <c r="D635">
        <v>30</v>
      </c>
      <c r="E635" t="s">
        <v>1978</v>
      </c>
      <c r="F635">
        <v>57</v>
      </c>
      <c r="G635">
        <v>21</v>
      </c>
      <c r="H635">
        <v>1422</v>
      </c>
      <c r="I635">
        <v>181</v>
      </c>
      <c r="J635">
        <v>417</v>
      </c>
      <c r="K635">
        <v>0.434</v>
      </c>
      <c r="L635">
        <v>70</v>
      </c>
      <c r="M635">
        <v>175</v>
      </c>
      <c r="N635">
        <v>0.4</v>
      </c>
      <c r="O635">
        <v>111</v>
      </c>
      <c r="P635">
        <v>242</v>
      </c>
      <c r="Q635">
        <v>0.45900000000000002</v>
      </c>
      <c r="R635">
        <v>0.51800000000000002</v>
      </c>
      <c r="S635">
        <v>138</v>
      </c>
      <c r="T635">
        <v>167</v>
      </c>
      <c r="U635">
        <v>0.82599999999999996</v>
      </c>
      <c r="V635">
        <v>18</v>
      </c>
      <c r="W635">
        <v>145</v>
      </c>
      <c r="X635">
        <v>163</v>
      </c>
      <c r="Y635">
        <v>208</v>
      </c>
      <c r="Z635">
        <v>57</v>
      </c>
      <c r="AA635">
        <v>9</v>
      </c>
      <c r="AB635">
        <v>100</v>
      </c>
      <c r="AC635">
        <v>107</v>
      </c>
      <c r="AD635">
        <v>570</v>
      </c>
    </row>
    <row r="636" spans="1:30" x14ac:dyDescent="0.3">
      <c r="A636">
        <v>466</v>
      </c>
      <c r="B636" t="s">
        <v>2463</v>
      </c>
      <c r="C636" t="s">
        <v>1956</v>
      </c>
      <c r="D636">
        <v>24</v>
      </c>
      <c r="E636" t="s">
        <v>2034</v>
      </c>
      <c r="F636">
        <v>2</v>
      </c>
      <c r="G636">
        <v>0</v>
      </c>
      <c r="H636">
        <v>7</v>
      </c>
      <c r="I636">
        <v>0</v>
      </c>
      <c r="J636">
        <v>2</v>
      </c>
      <c r="K636">
        <v>0</v>
      </c>
      <c r="L636">
        <v>0</v>
      </c>
      <c r="M636">
        <v>1</v>
      </c>
      <c r="N636">
        <v>0</v>
      </c>
      <c r="O636">
        <v>0</v>
      </c>
      <c r="P636">
        <v>1</v>
      </c>
      <c r="Q636">
        <v>0</v>
      </c>
      <c r="R636">
        <v>0</v>
      </c>
      <c r="S636">
        <v>0</v>
      </c>
      <c r="T636">
        <v>0</v>
      </c>
      <c r="V636">
        <v>2</v>
      </c>
      <c r="W636">
        <v>0</v>
      </c>
      <c r="X636">
        <v>2</v>
      </c>
      <c r="Y636">
        <v>1</v>
      </c>
      <c r="Z636">
        <v>0</v>
      </c>
      <c r="AA636">
        <v>0</v>
      </c>
      <c r="AB636">
        <v>0</v>
      </c>
      <c r="AC636">
        <v>1</v>
      </c>
      <c r="AD636">
        <v>0</v>
      </c>
    </row>
    <row r="637" spans="1:30" x14ac:dyDescent="0.3">
      <c r="A637">
        <v>467</v>
      </c>
      <c r="B637" t="s">
        <v>2464</v>
      </c>
      <c r="C637" t="s">
        <v>1981</v>
      </c>
      <c r="D637">
        <v>24</v>
      </c>
      <c r="E637" t="s">
        <v>1959</v>
      </c>
      <c r="F637">
        <v>51</v>
      </c>
      <c r="G637">
        <v>1</v>
      </c>
      <c r="H637">
        <v>672</v>
      </c>
      <c r="I637">
        <v>84</v>
      </c>
      <c r="J637">
        <v>209</v>
      </c>
      <c r="K637">
        <v>0.40200000000000002</v>
      </c>
      <c r="L637">
        <v>11</v>
      </c>
      <c r="M637">
        <v>30</v>
      </c>
      <c r="N637">
        <v>0.36699999999999999</v>
      </c>
      <c r="O637">
        <v>73</v>
      </c>
      <c r="P637">
        <v>179</v>
      </c>
      <c r="Q637">
        <v>0.40799999999999997</v>
      </c>
      <c r="R637">
        <v>0.42799999999999999</v>
      </c>
      <c r="S637">
        <v>20</v>
      </c>
      <c r="T637">
        <v>26</v>
      </c>
      <c r="U637">
        <v>0.76900000000000002</v>
      </c>
      <c r="V637">
        <v>31</v>
      </c>
      <c r="W637">
        <v>75</v>
      </c>
      <c r="X637">
        <v>106</v>
      </c>
      <c r="Y637">
        <v>40</v>
      </c>
      <c r="Z637">
        <v>15</v>
      </c>
      <c r="AA637">
        <v>11</v>
      </c>
      <c r="AB637">
        <v>35</v>
      </c>
      <c r="AC637">
        <v>55</v>
      </c>
      <c r="AD637">
        <v>199</v>
      </c>
    </row>
    <row r="638" spans="1:30" x14ac:dyDescent="0.3">
      <c r="A638">
        <v>468</v>
      </c>
      <c r="B638" t="s">
        <v>2465</v>
      </c>
      <c r="C638" t="s">
        <v>1981</v>
      </c>
      <c r="D638">
        <v>28</v>
      </c>
      <c r="E638" t="s">
        <v>2026</v>
      </c>
      <c r="F638">
        <v>32</v>
      </c>
      <c r="G638">
        <v>0</v>
      </c>
      <c r="H638">
        <v>352</v>
      </c>
      <c r="I638">
        <v>24</v>
      </c>
      <c r="J638">
        <v>91</v>
      </c>
      <c r="K638">
        <v>0.26400000000000001</v>
      </c>
      <c r="L638">
        <v>10</v>
      </c>
      <c r="M638">
        <v>43</v>
      </c>
      <c r="N638">
        <v>0.23300000000000001</v>
      </c>
      <c r="O638">
        <v>14</v>
      </c>
      <c r="P638">
        <v>48</v>
      </c>
      <c r="Q638">
        <v>0.29199999999999998</v>
      </c>
      <c r="R638">
        <v>0.31900000000000001</v>
      </c>
      <c r="S638">
        <v>48</v>
      </c>
      <c r="T638">
        <v>64</v>
      </c>
      <c r="U638">
        <v>0.75</v>
      </c>
      <c r="V638">
        <v>10</v>
      </c>
      <c r="W638">
        <v>36</v>
      </c>
      <c r="X638">
        <v>46</v>
      </c>
      <c r="Y638">
        <v>17</v>
      </c>
      <c r="Z638">
        <v>7</v>
      </c>
      <c r="AA638">
        <v>1</v>
      </c>
      <c r="AB638">
        <v>22</v>
      </c>
      <c r="AC638">
        <v>24</v>
      </c>
      <c r="AD638">
        <v>106</v>
      </c>
    </row>
    <row r="639" spans="1:30" x14ac:dyDescent="0.3">
      <c r="A639">
        <v>469</v>
      </c>
      <c r="B639" t="s">
        <v>2466</v>
      </c>
      <c r="C639" t="s">
        <v>1956</v>
      </c>
      <c r="D639">
        <v>34</v>
      </c>
      <c r="E639" t="s">
        <v>1978</v>
      </c>
      <c r="F639">
        <v>66</v>
      </c>
      <c r="G639">
        <v>66</v>
      </c>
      <c r="H639">
        <v>1895</v>
      </c>
      <c r="I639">
        <v>323</v>
      </c>
      <c r="J639">
        <v>686</v>
      </c>
      <c r="K639">
        <v>0.47099999999999997</v>
      </c>
      <c r="L639">
        <v>4</v>
      </c>
      <c r="M639">
        <v>20</v>
      </c>
      <c r="N639">
        <v>0.2</v>
      </c>
      <c r="O639">
        <v>319</v>
      </c>
      <c r="P639">
        <v>666</v>
      </c>
      <c r="Q639">
        <v>0.47899999999999998</v>
      </c>
      <c r="R639">
        <v>0.47399999999999998</v>
      </c>
      <c r="S639">
        <v>119</v>
      </c>
      <c r="T639">
        <v>161</v>
      </c>
      <c r="U639">
        <v>0.73899999999999999</v>
      </c>
      <c r="V639">
        <v>108</v>
      </c>
      <c r="W639">
        <v>341</v>
      </c>
      <c r="X639">
        <v>449</v>
      </c>
      <c r="Y639">
        <v>223</v>
      </c>
      <c r="Z639">
        <v>48</v>
      </c>
      <c r="AA639">
        <v>48</v>
      </c>
      <c r="AB639">
        <v>120</v>
      </c>
      <c r="AC639">
        <v>160</v>
      </c>
      <c r="AD639">
        <v>769</v>
      </c>
    </row>
    <row r="640" spans="1:30" x14ac:dyDescent="0.3">
      <c r="A640">
        <v>470</v>
      </c>
      <c r="B640" t="s">
        <v>2467</v>
      </c>
      <c r="C640" t="s">
        <v>2004</v>
      </c>
      <c r="D640">
        <v>26</v>
      </c>
      <c r="E640" t="s">
        <v>1964</v>
      </c>
      <c r="F640">
        <v>67</v>
      </c>
      <c r="G640">
        <v>67</v>
      </c>
      <c r="H640">
        <v>2302</v>
      </c>
      <c r="I640">
        <v>627</v>
      </c>
      <c r="J640">
        <v>1471</v>
      </c>
      <c r="K640">
        <v>0.42599999999999999</v>
      </c>
      <c r="L640">
        <v>86</v>
      </c>
      <c r="M640">
        <v>288</v>
      </c>
      <c r="N640">
        <v>0.29899999999999999</v>
      </c>
      <c r="O640">
        <v>541</v>
      </c>
      <c r="P640">
        <v>1183</v>
      </c>
      <c r="Q640">
        <v>0.45700000000000002</v>
      </c>
      <c r="R640">
        <v>0.45500000000000002</v>
      </c>
      <c r="S640">
        <v>546</v>
      </c>
      <c r="T640">
        <v>654</v>
      </c>
      <c r="U640">
        <v>0.83499999999999996</v>
      </c>
      <c r="V640">
        <v>124</v>
      </c>
      <c r="W640">
        <v>364</v>
      </c>
      <c r="X640">
        <v>488</v>
      </c>
      <c r="Y640">
        <v>574</v>
      </c>
      <c r="Z640">
        <v>140</v>
      </c>
      <c r="AA640">
        <v>14</v>
      </c>
      <c r="AB640">
        <v>293</v>
      </c>
      <c r="AC640">
        <v>184</v>
      </c>
      <c r="AD640">
        <v>1886</v>
      </c>
    </row>
    <row r="641" spans="1:30" x14ac:dyDescent="0.3">
      <c r="A641">
        <v>471</v>
      </c>
      <c r="B641" t="s">
        <v>2468</v>
      </c>
      <c r="C641" t="s">
        <v>213</v>
      </c>
      <c r="D641">
        <v>25</v>
      </c>
      <c r="E641" t="s">
        <v>1986</v>
      </c>
      <c r="F641">
        <v>48</v>
      </c>
      <c r="G641">
        <v>32</v>
      </c>
      <c r="H641">
        <v>1142</v>
      </c>
      <c r="I641">
        <v>243</v>
      </c>
      <c r="J641">
        <v>387</v>
      </c>
      <c r="K641">
        <v>0.628</v>
      </c>
      <c r="L641">
        <v>0</v>
      </c>
      <c r="M641">
        <v>0</v>
      </c>
      <c r="O641">
        <v>243</v>
      </c>
      <c r="P641">
        <v>387</v>
      </c>
      <c r="Q641">
        <v>0.628</v>
      </c>
      <c r="R641">
        <v>0.628</v>
      </c>
      <c r="S641">
        <v>78</v>
      </c>
      <c r="T641">
        <v>156</v>
      </c>
      <c r="U641">
        <v>0.5</v>
      </c>
      <c r="V641">
        <v>145</v>
      </c>
      <c r="W641">
        <v>337</v>
      </c>
      <c r="X641">
        <v>482</v>
      </c>
      <c r="Y641">
        <v>6</v>
      </c>
      <c r="Z641">
        <v>27</v>
      </c>
      <c r="AA641">
        <v>123</v>
      </c>
      <c r="AB641">
        <v>58</v>
      </c>
      <c r="AC641">
        <v>129</v>
      </c>
      <c r="AD641">
        <v>564</v>
      </c>
    </row>
    <row r="642" spans="1:30" x14ac:dyDescent="0.3">
      <c r="A642">
        <v>472</v>
      </c>
      <c r="B642" t="s">
        <v>2469</v>
      </c>
      <c r="C642" t="s">
        <v>1956</v>
      </c>
      <c r="D642">
        <v>23</v>
      </c>
      <c r="E642" t="s">
        <v>1978</v>
      </c>
      <c r="F642">
        <v>20</v>
      </c>
      <c r="G642">
        <v>0</v>
      </c>
      <c r="H642">
        <v>108</v>
      </c>
      <c r="I642">
        <v>19</v>
      </c>
      <c r="J642">
        <v>42</v>
      </c>
      <c r="K642">
        <v>0.45200000000000001</v>
      </c>
      <c r="L642">
        <v>1</v>
      </c>
      <c r="M642">
        <v>6</v>
      </c>
      <c r="N642">
        <v>0.16700000000000001</v>
      </c>
      <c r="O642">
        <v>18</v>
      </c>
      <c r="P642">
        <v>36</v>
      </c>
      <c r="Q642">
        <v>0.5</v>
      </c>
      <c r="R642">
        <v>0.46400000000000002</v>
      </c>
      <c r="S642">
        <v>18</v>
      </c>
      <c r="T642">
        <v>23</v>
      </c>
      <c r="U642">
        <v>0.78300000000000003</v>
      </c>
      <c r="V642">
        <v>10</v>
      </c>
      <c r="W642">
        <v>19</v>
      </c>
      <c r="X642">
        <v>29</v>
      </c>
      <c r="Y642">
        <v>6</v>
      </c>
      <c r="Z642">
        <v>5</v>
      </c>
      <c r="AA642">
        <v>2</v>
      </c>
      <c r="AB642">
        <v>5</v>
      </c>
      <c r="AC642">
        <v>18</v>
      </c>
      <c r="AD642">
        <v>57</v>
      </c>
    </row>
    <row r="643" spans="1:30" x14ac:dyDescent="0.3">
      <c r="A643">
        <v>473</v>
      </c>
      <c r="B643" t="s">
        <v>2470</v>
      </c>
      <c r="C643" t="s">
        <v>1981</v>
      </c>
      <c r="D643">
        <v>19</v>
      </c>
      <c r="E643" t="s">
        <v>1966</v>
      </c>
      <c r="F643">
        <v>82</v>
      </c>
      <c r="G643">
        <v>82</v>
      </c>
      <c r="H643">
        <v>2969</v>
      </c>
      <c r="I643">
        <v>497</v>
      </c>
      <c r="J643">
        <v>1137</v>
      </c>
      <c r="K643">
        <v>0.437</v>
      </c>
      <c r="L643">
        <v>39</v>
      </c>
      <c r="M643">
        <v>126</v>
      </c>
      <c r="N643">
        <v>0.31</v>
      </c>
      <c r="O643">
        <v>458</v>
      </c>
      <c r="P643">
        <v>1011</v>
      </c>
      <c r="Q643">
        <v>0.45300000000000001</v>
      </c>
      <c r="R643">
        <v>0.45400000000000001</v>
      </c>
      <c r="S643">
        <v>354</v>
      </c>
      <c r="T643">
        <v>466</v>
      </c>
      <c r="U643">
        <v>0.76</v>
      </c>
      <c r="V643">
        <v>134</v>
      </c>
      <c r="W643">
        <v>240</v>
      </c>
      <c r="X643">
        <v>374</v>
      </c>
      <c r="Y643">
        <v>170</v>
      </c>
      <c r="Z643">
        <v>86</v>
      </c>
      <c r="AA643">
        <v>50</v>
      </c>
      <c r="AB643">
        <v>177</v>
      </c>
      <c r="AC643">
        <v>190</v>
      </c>
      <c r="AD643">
        <v>1387</v>
      </c>
    </row>
    <row r="644" spans="1:30" x14ac:dyDescent="0.3">
      <c r="A644">
        <v>474</v>
      </c>
      <c r="B644" t="s">
        <v>2471</v>
      </c>
      <c r="C644" t="s">
        <v>1961</v>
      </c>
      <c r="D644">
        <v>24</v>
      </c>
      <c r="E644" t="s">
        <v>2015</v>
      </c>
      <c r="F644">
        <v>21</v>
      </c>
      <c r="G644">
        <v>0</v>
      </c>
      <c r="H644">
        <v>101</v>
      </c>
      <c r="I644">
        <v>16</v>
      </c>
      <c r="J644">
        <v>38</v>
      </c>
      <c r="K644">
        <v>0.42099999999999999</v>
      </c>
      <c r="L644">
        <v>7</v>
      </c>
      <c r="M644">
        <v>19</v>
      </c>
      <c r="N644">
        <v>0.36799999999999999</v>
      </c>
      <c r="O644">
        <v>9</v>
      </c>
      <c r="P644">
        <v>19</v>
      </c>
      <c r="Q644">
        <v>0.47399999999999998</v>
      </c>
      <c r="R644">
        <v>0.51300000000000001</v>
      </c>
      <c r="S644">
        <v>2</v>
      </c>
      <c r="T644">
        <v>2</v>
      </c>
      <c r="U644">
        <v>1</v>
      </c>
      <c r="V644">
        <v>1</v>
      </c>
      <c r="W644">
        <v>6</v>
      </c>
      <c r="X644">
        <v>7</v>
      </c>
      <c r="Y644">
        <v>8</v>
      </c>
      <c r="Z644">
        <v>3</v>
      </c>
      <c r="AA644">
        <v>1</v>
      </c>
      <c r="AB644">
        <v>10</v>
      </c>
      <c r="AC644">
        <v>7</v>
      </c>
      <c r="AD644">
        <v>41</v>
      </c>
    </row>
    <row r="645" spans="1:30" x14ac:dyDescent="0.3">
      <c r="A645">
        <v>475</v>
      </c>
      <c r="B645" t="s">
        <v>2472</v>
      </c>
      <c r="C645" t="s">
        <v>2004</v>
      </c>
      <c r="D645">
        <v>30</v>
      </c>
      <c r="E645" t="s">
        <v>1988</v>
      </c>
      <c r="F645">
        <v>68</v>
      </c>
      <c r="G645">
        <v>55</v>
      </c>
      <c r="H645">
        <v>2114</v>
      </c>
      <c r="I645">
        <v>298</v>
      </c>
      <c r="J645">
        <v>771</v>
      </c>
      <c r="K645">
        <v>0.38700000000000001</v>
      </c>
      <c r="L645">
        <v>87</v>
      </c>
      <c r="M645">
        <v>237</v>
      </c>
      <c r="N645">
        <v>0.36699999999999999</v>
      </c>
      <c r="O645">
        <v>211</v>
      </c>
      <c r="P645">
        <v>534</v>
      </c>
      <c r="Q645">
        <v>0.39500000000000002</v>
      </c>
      <c r="R645">
        <v>0.443</v>
      </c>
      <c r="S645">
        <v>201</v>
      </c>
      <c r="T645">
        <v>241</v>
      </c>
      <c r="U645">
        <v>0.83399999999999996</v>
      </c>
      <c r="V645">
        <v>29</v>
      </c>
      <c r="W645">
        <v>208</v>
      </c>
      <c r="X645">
        <v>237</v>
      </c>
      <c r="Y645">
        <v>448</v>
      </c>
      <c r="Z645">
        <v>64</v>
      </c>
      <c r="AA645">
        <v>17</v>
      </c>
      <c r="AB645">
        <v>154</v>
      </c>
      <c r="AC645">
        <v>157</v>
      </c>
      <c r="AD645">
        <v>884</v>
      </c>
    </row>
    <row r="646" spans="1:30" x14ac:dyDescent="0.3">
      <c r="A646">
        <v>476</v>
      </c>
      <c r="B646" t="s">
        <v>2473</v>
      </c>
      <c r="C646" t="s">
        <v>1956</v>
      </c>
      <c r="D646">
        <v>23</v>
      </c>
      <c r="E646" t="s">
        <v>2034</v>
      </c>
      <c r="F646">
        <v>74</v>
      </c>
      <c r="G646">
        <v>6</v>
      </c>
      <c r="H646">
        <v>1462</v>
      </c>
      <c r="I646">
        <v>217</v>
      </c>
      <c r="J646">
        <v>485</v>
      </c>
      <c r="K646">
        <v>0.44700000000000001</v>
      </c>
      <c r="L646">
        <v>49</v>
      </c>
      <c r="M646">
        <v>156</v>
      </c>
      <c r="N646">
        <v>0.314</v>
      </c>
      <c r="O646">
        <v>168</v>
      </c>
      <c r="P646">
        <v>329</v>
      </c>
      <c r="Q646">
        <v>0.51100000000000001</v>
      </c>
      <c r="R646">
        <v>0.498</v>
      </c>
      <c r="S646">
        <v>134</v>
      </c>
      <c r="T646">
        <v>196</v>
      </c>
      <c r="U646">
        <v>0.68400000000000005</v>
      </c>
      <c r="V646">
        <v>41</v>
      </c>
      <c r="W646">
        <v>161</v>
      </c>
      <c r="X646">
        <v>202</v>
      </c>
      <c r="Y646">
        <v>50</v>
      </c>
      <c r="Z646">
        <v>34</v>
      </c>
      <c r="AA646">
        <v>4</v>
      </c>
      <c r="AB646">
        <v>56</v>
      </c>
      <c r="AC646">
        <v>67</v>
      </c>
      <c r="AD646">
        <v>617</v>
      </c>
    </row>
    <row r="647" spans="1:30" x14ac:dyDescent="0.3">
      <c r="A647">
        <v>477</v>
      </c>
      <c r="B647" t="s">
        <v>2474</v>
      </c>
      <c r="C647" t="s">
        <v>1961</v>
      </c>
      <c r="D647">
        <v>25</v>
      </c>
      <c r="E647" t="s">
        <v>1968</v>
      </c>
      <c r="F647">
        <v>13</v>
      </c>
      <c r="G647">
        <v>0</v>
      </c>
      <c r="H647">
        <v>119</v>
      </c>
      <c r="I647">
        <v>14</v>
      </c>
      <c r="J647">
        <v>37</v>
      </c>
      <c r="K647">
        <v>0.378</v>
      </c>
      <c r="L647">
        <v>8</v>
      </c>
      <c r="M647">
        <v>18</v>
      </c>
      <c r="N647">
        <v>0.44400000000000001</v>
      </c>
      <c r="O647">
        <v>6</v>
      </c>
      <c r="P647">
        <v>19</v>
      </c>
      <c r="Q647">
        <v>0.316</v>
      </c>
      <c r="R647">
        <v>0.48599999999999999</v>
      </c>
      <c r="S647">
        <v>1</v>
      </c>
      <c r="T647">
        <v>4</v>
      </c>
      <c r="U647">
        <v>0.25</v>
      </c>
      <c r="V647">
        <v>0</v>
      </c>
      <c r="W647">
        <v>8</v>
      </c>
      <c r="X647">
        <v>8</v>
      </c>
      <c r="Y647">
        <v>12</v>
      </c>
      <c r="Z647">
        <v>4</v>
      </c>
      <c r="AA647">
        <v>0</v>
      </c>
      <c r="AB647">
        <v>4</v>
      </c>
      <c r="AC647">
        <v>12</v>
      </c>
      <c r="AD647">
        <v>37</v>
      </c>
    </row>
    <row r="648" spans="1:30" x14ac:dyDescent="0.3">
      <c r="A648">
        <v>477</v>
      </c>
      <c r="B648" t="s">
        <v>2474</v>
      </c>
      <c r="C648" t="s">
        <v>1961</v>
      </c>
      <c r="D648">
        <v>25</v>
      </c>
      <c r="E648" t="s">
        <v>2030</v>
      </c>
      <c r="F648">
        <v>5</v>
      </c>
      <c r="G648">
        <v>0</v>
      </c>
      <c r="H648">
        <v>42</v>
      </c>
      <c r="I648">
        <v>6</v>
      </c>
      <c r="J648">
        <v>13</v>
      </c>
      <c r="K648">
        <v>0.46200000000000002</v>
      </c>
      <c r="L648">
        <v>5</v>
      </c>
      <c r="M648">
        <v>7</v>
      </c>
      <c r="N648">
        <v>0.71399999999999997</v>
      </c>
      <c r="O648">
        <v>1</v>
      </c>
      <c r="P648">
        <v>6</v>
      </c>
      <c r="Q648">
        <v>0.16700000000000001</v>
      </c>
      <c r="R648">
        <v>0.65400000000000003</v>
      </c>
      <c r="S648">
        <v>1</v>
      </c>
      <c r="T648">
        <v>2</v>
      </c>
      <c r="U648">
        <v>0.5</v>
      </c>
      <c r="V648">
        <v>0</v>
      </c>
      <c r="W648">
        <v>3</v>
      </c>
      <c r="X648">
        <v>3</v>
      </c>
      <c r="Y648">
        <v>4</v>
      </c>
      <c r="Z648">
        <v>2</v>
      </c>
      <c r="AA648">
        <v>0</v>
      </c>
      <c r="AB648">
        <v>4</v>
      </c>
      <c r="AC648">
        <v>1</v>
      </c>
      <c r="AD648">
        <v>18</v>
      </c>
    </row>
    <row r="649" spans="1:30" x14ac:dyDescent="0.3">
      <c r="A649">
        <v>477</v>
      </c>
      <c r="B649" t="s">
        <v>2474</v>
      </c>
      <c r="C649" t="s">
        <v>1961</v>
      </c>
      <c r="D649">
        <v>25</v>
      </c>
      <c r="E649" t="s">
        <v>1972</v>
      </c>
      <c r="F649">
        <v>8</v>
      </c>
      <c r="G649">
        <v>0</v>
      </c>
      <c r="H649">
        <v>77</v>
      </c>
      <c r="I649">
        <v>8</v>
      </c>
      <c r="J649">
        <v>24</v>
      </c>
      <c r="K649">
        <v>0.33300000000000002</v>
      </c>
      <c r="L649">
        <v>3</v>
      </c>
      <c r="M649">
        <v>11</v>
      </c>
      <c r="N649">
        <v>0.27300000000000002</v>
      </c>
      <c r="O649">
        <v>5</v>
      </c>
      <c r="P649">
        <v>13</v>
      </c>
      <c r="Q649">
        <v>0.38500000000000001</v>
      </c>
      <c r="R649">
        <v>0.39600000000000002</v>
      </c>
      <c r="S649">
        <v>0</v>
      </c>
      <c r="T649">
        <v>2</v>
      </c>
      <c r="U649">
        <v>0</v>
      </c>
      <c r="V649">
        <v>0</v>
      </c>
      <c r="W649">
        <v>5</v>
      </c>
      <c r="X649">
        <v>5</v>
      </c>
      <c r="Y649">
        <v>8</v>
      </c>
      <c r="Z649">
        <v>2</v>
      </c>
      <c r="AA649">
        <v>0</v>
      </c>
      <c r="AB649">
        <v>0</v>
      </c>
      <c r="AC649">
        <v>11</v>
      </c>
      <c r="AD649">
        <v>19</v>
      </c>
    </row>
    <row r="650" spans="1:30" x14ac:dyDescent="0.3">
      <c r="A650">
        <v>478</v>
      </c>
      <c r="B650" t="s">
        <v>2475</v>
      </c>
      <c r="C650" t="s">
        <v>1961</v>
      </c>
      <c r="D650">
        <v>28</v>
      </c>
      <c r="E650" t="s">
        <v>2068</v>
      </c>
      <c r="F650">
        <v>80</v>
      </c>
      <c r="G650">
        <v>0</v>
      </c>
      <c r="H650">
        <v>2016</v>
      </c>
      <c r="I650">
        <v>375</v>
      </c>
      <c r="J650">
        <v>928</v>
      </c>
      <c r="K650">
        <v>0.40400000000000003</v>
      </c>
      <c r="L650">
        <v>152</v>
      </c>
      <c r="M650">
        <v>447</v>
      </c>
      <c r="N650">
        <v>0.34</v>
      </c>
      <c r="O650">
        <v>223</v>
      </c>
      <c r="P650">
        <v>481</v>
      </c>
      <c r="Q650">
        <v>0.46400000000000002</v>
      </c>
      <c r="R650">
        <v>0.48599999999999999</v>
      </c>
      <c r="S650">
        <v>340</v>
      </c>
      <c r="T650">
        <v>395</v>
      </c>
      <c r="U650">
        <v>0.86099999999999999</v>
      </c>
      <c r="V650">
        <v>24</v>
      </c>
      <c r="W650">
        <v>127</v>
      </c>
      <c r="X650">
        <v>151</v>
      </c>
      <c r="Y650">
        <v>164</v>
      </c>
      <c r="Z650">
        <v>88</v>
      </c>
      <c r="AA650">
        <v>10</v>
      </c>
      <c r="AB650">
        <v>101</v>
      </c>
      <c r="AC650">
        <v>103</v>
      </c>
      <c r="AD650">
        <v>1242</v>
      </c>
    </row>
    <row r="651" spans="1:30" x14ac:dyDescent="0.3">
      <c r="A651">
        <v>479</v>
      </c>
      <c r="B651" t="s">
        <v>2476</v>
      </c>
      <c r="C651" t="s">
        <v>1956</v>
      </c>
      <c r="D651">
        <v>28</v>
      </c>
      <c r="E651" t="s">
        <v>2036</v>
      </c>
      <c r="F651">
        <v>78</v>
      </c>
      <c r="G651">
        <v>37</v>
      </c>
      <c r="H651">
        <v>2035</v>
      </c>
      <c r="I651">
        <v>210</v>
      </c>
      <c r="J651">
        <v>495</v>
      </c>
      <c r="K651">
        <v>0.42399999999999999</v>
      </c>
      <c r="L651">
        <v>95</v>
      </c>
      <c r="M651">
        <v>265</v>
      </c>
      <c r="N651">
        <v>0.35799999999999998</v>
      </c>
      <c r="O651">
        <v>115</v>
      </c>
      <c r="P651">
        <v>230</v>
      </c>
      <c r="Q651">
        <v>0.5</v>
      </c>
      <c r="R651">
        <v>0.52</v>
      </c>
      <c r="S651">
        <v>62</v>
      </c>
      <c r="T651">
        <v>87</v>
      </c>
      <c r="U651">
        <v>0.71299999999999997</v>
      </c>
      <c r="V651">
        <v>58</v>
      </c>
      <c r="W651">
        <v>328</v>
      </c>
      <c r="X651">
        <v>386</v>
      </c>
      <c r="Y651">
        <v>100</v>
      </c>
      <c r="Z651">
        <v>69</v>
      </c>
      <c r="AA651">
        <v>36</v>
      </c>
      <c r="AB651">
        <v>60</v>
      </c>
      <c r="AC651">
        <v>146</v>
      </c>
      <c r="AD651">
        <v>577</v>
      </c>
    </row>
    <row r="652" spans="1:30" x14ac:dyDescent="0.3">
      <c r="A652">
        <v>480</v>
      </c>
      <c r="B652" t="s">
        <v>2477</v>
      </c>
      <c r="C652" t="s">
        <v>2004</v>
      </c>
      <c r="D652">
        <v>32</v>
      </c>
      <c r="E652" t="s">
        <v>1968</v>
      </c>
      <c r="F652">
        <v>68</v>
      </c>
      <c r="G652">
        <v>33</v>
      </c>
      <c r="H652">
        <v>1980</v>
      </c>
      <c r="I652">
        <v>341</v>
      </c>
      <c r="J652">
        <v>860</v>
      </c>
      <c r="K652">
        <v>0.39700000000000002</v>
      </c>
      <c r="L652">
        <v>119</v>
      </c>
      <c r="M652">
        <v>348</v>
      </c>
      <c r="N652">
        <v>0.34200000000000003</v>
      </c>
      <c r="O652">
        <v>222</v>
      </c>
      <c r="P652">
        <v>512</v>
      </c>
      <c r="Q652">
        <v>0.434</v>
      </c>
      <c r="R652">
        <v>0.46600000000000003</v>
      </c>
      <c r="S652">
        <v>163</v>
      </c>
      <c r="T652">
        <v>187</v>
      </c>
      <c r="U652">
        <v>0.872</v>
      </c>
      <c r="V652">
        <v>22</v>
      </c>
      <c r="W652">
        <v>152</v>
      </c>
      <c r="X652">
        <v>174</v>
      </c>
      <c r="Y652">
        <v>424</v>
      </c>
      <c r="Z652">
        <v>46</v>
      </c>
      <c r="AA652">
        <v>14</v>
      </c>
      <c r="AB652">
        <v>172</v>
      </c>
      <c r="AC652">
        <v>162</v>
      </c>
      <c r="AD652">
        <v>964</v>
      </c>
    </row>
    <row r="653" spans="1:30" x14ac:dyDescent="0.3">
      <c r="A653">
        <v>480</v>
      </c>
      <c r="B653" t="s">
        <v>2477</v>
      </c>
      <c r="C653" t="s">
        <v>2004</v>
      </c>
      <c r="D653">
        <v>32</v>
      </c>
      <c r="E653" t="s">
        <v>1966</v>
      </c>
      <c r="F653">
        <v>41</v>
      </c>
      <c r="G653">
        <v>19</v>
      </c>
      <c r="H653">
        <v>1149</v>
      </c>
      <c r="I653">
        <v>180</v>
      </c>
      <c r="J653">
        <v>447</v>
      </c>
      <c r="K653">
        <v>0.40300000000000002</v>
      </c>
      <c r="L653">
        <v>59</v>
      </c>
      <c r="M653">
        <v>170</v>
      </c>
      <c r="N653">
        <v>0.34699999999999998</v>
      </c>
      <c r="O653">
        <v>121</v>
      </c>
      <c r="P653">
        <v>277</v>
      </c>
      <c r="Q653">
        <v>0.437</v>
      </c>
      <c r="R653">
        <v>0.46899999999999997</v>
      </c>
      <c r="S653">
        <v>80</v>
      </c>
      <c r="T653">
        <v>94</v>
      </c>
      <c r="U653">
        <v>0.85099999999999998</v>
      </c>
      <c r="V653">
        <v>13</v>
      </c>
      <c r="W653">
        <v>85</v>
      </c>
      <c r="X653">
        <v>98</v>
      </c>
      <c r="Y653">
        <v>261</v>
      </c>
      <c r="Z653">
        <v>30</v>
      </c>
      <c r="AA653">
        <v>8</v>
      </c>
      <c r="AB653">
        <v>102</v>
      </c>
      <c r="AC653">
        <v>103</v>
      </c>
      <c r="AD653">
        <v>499</v>
      </c>
    </row>
    <row r="654" spans="1:30" x14ac:dyDescent="0.3">
      <c r="A654">
        <v>480</v>
      </c>
      <c r="B654" t="s">
        <v>2477</v>
      </c>
      <c r="C654" t="s">
        <v>2004</v>
      </c>
      <c r="D654">
        <v>32</v>
      </c>
      <c r="E654" t="s">
        <v>2036</v>
      </c>
      <c r="F654">
        <v>27</v>
      </c>
      <c r="G654">
        <v>14</v>
      </c>
      <c r="H654">
        <v>831</v>
      </c>
      <c r="I654">
        <v>161</v>
      </c>
      <c r="J654">
        <v>413</v>
      </c>
      <c r="K654">
        <v>0.39</v>
      </c>
      <c r="L654">
        <v>60</v>
      </c>
      <c r="M654">
        <v>178</v>
      </c>
      <c r="N654">
        <v>0.33700000000000002</v>
      </c>
      <c r="O654">
        <v>101</v>
      </c>
      <c r="P654">
        <v>235</v>
      </c>
      <c r="Q654">
        <v>0.43</v>
      </c>
      <c r="R654">
        <v>0.46200000000000002</v>
      </c>
      <c r="S654">
        <v>83</v>
      </c>
      <c r="T654">
        <v>93</v>
      </c>
      <c r="U654">
        <v>0.89200000000000002</v>
      </c>
      <c r="V654">
        <v>9</v>
      </c>
      <c r="W654">
        <v>67</v>
      </c>
      <c r="X654">
        <v>76</v>
      </c>
      <c r="Y654">
        <v>163</v>
      </c>
      <c r="Z654">
        <v>16</v>
      </c>
      <c r="AA654">
        <v>6</v>
      </c>
      <c r="AB654">
        <v>70</v>
      </c>
      <c r="AC654">
        <v>59</v>
      </c>
      <c r="AD654">
        <v>465</v>
      </c>
    </row>
    <row r="655" spans="1:30" x14ac:dyDescent="0.3">
      <c r="A655" t="s">
        <v>1929</v>
      </c>
      <c r="B655" t="s">
        <v>1930</v>
      </c>
      <c r="C655" t="s">
        <v>1931</v>
      </c>
      <c r="D655" t="s">
        <v>198</v>
      </c>
      <c r="E655" t="s">
        <v>1932</v>
      </c>
      <c r="F655" t="s">
        <v>1933</v>
      </c>
      <c r="G655" t="s">
        <v>1934</v>
      </c>
      <c r="H655" t="s">
        <v>1935</v>
      </c>
      <c r="I655" t="s">
        <v>1936</v>
      </c>
      <c r="J655" t="s">
        <v>1937</v>
      </c>
      <c r="K655" t="s">
        <v>1938</v>
      </c>
      <c r="L655" t="s">
        <v>1939</v>
      </c>
      <c r="M655" t="s">
        <v>1940</v>
      </c>
      <c r="N655" t="s">
        <v>1941</v>
      </c>
      <c r="O655" t="s">
        <v>1942</v>
      </c>
      <c r="P655" t="s">
        <v>1943</v>
      </c>
      <c r="Q655" t="s">
        <v>1944</v>
      </c>
      <c r="R655" t="s">
        <v>1945</v>
      </c>
      <c r="S655" t="s">
        <v>1946</v>
      </c>
      <c r="T655" t="s">
        <v>1947</v>
      </c>
      <c r="U655" t="s">
        <v>1948</v>
      </c>
      <c r="V655" t="s">
        <v>1949</v>
      </c>
      <c r="W655" t="s">
        <v>1950</v>
      </c>
      <c r="X655" t="s">
        <v>1951</v>
      </c>
      <c r="Y655" t="s">
        <v>1952</v>
      </c>
      <c r="Z655" t="s">
        <v>1953</v>
      </c>
      <c r="AA655" t="s">
        <v>1954</v>
      </c>
      <c r="AB655" t="s">
        <v>1955</v>
      </c>
      <c r="AC655" t="s">
        <v>1956</v>
      </c>
      <c r="AD655" t="s">
        <v>1957</v>
      </c>
    </row>
    <row r="656" spans="1:30" x14ac:dyDescent="0.3">
      <c r="A656">
        <v>481</v>
      </c>
      <c r="B656" t="s">
        <v>2478</v>
      </c>
      <c r="C656" t="s">
        <v>1981</v>
      </c>
      <c r="D656">
        <v>28</v>
      </c>
      <c r="E656" t="s">
        <v>1990</v>
      </c>
      <c r="F656">
        <v>20</v>
      </c>
      <c r="G656">
        <v>0</v>
      </c>
      <c r="H656">
        <v>105</v>
      </c>
      <c r="I656">
        <v>15</v>
      </c>
      <c r="J656">
        <v>39</v>
      </c>
      <c r="K656">
        <v>0.38500000000000001</v>
      </c>
      <c r="L656">
        <v>3</v>
      </c>
      <c r="M656">
        <v>19</v>
      </c>
      <c r="N656">
        <v>0.158</v>
      </c>
      <c r="O656">
        <v>12</v>
      </c>
      <c r="P656">
        <v>20</v>
      </c>
      <c r="Q656">
        <v>0.6</v>
      </c>
      <c r="R656">
        <v>0.42299999999999999</v>
      </c>
      <c r="S656">
        <v>4</v>
      </c>
      <c r="T656">
        <v>4</v>
      </c>
      <c r="U656">
        <v>1</v>
      </c>
      <c r="V656">
        <v>5</v>
      </c>
      <c r="W656">
        <v>12</v>
      </c>
      <c r="X656">
        <v>17</v>
      </c>
      <c r="Y656">
        <v>10</v>
      </c>
      <c r="Z656">
        <v>1</v>
      </c>
      <c r="AA656">
        <v>0</v>
      </c>
      <c r="AB656">
        <v>2</v>
      </c>
      <c r="AC656">
        <v>12</v>
      </c>
      <c r="AD656">
        <v>37</v>
      </c>
    </row>
    <row r="657" spans="1:30" x14ac:dyDescent="0.3">
      <c r="A657">
        <v>482</v>
      </c>
      <c r="B657" t="s">
        <v>2479</v>
      </c>
      <c r="C657" t="s">
        <v>1981</v>
      </c>
      <c r="D657">
        <v>28</v>
      </c>
      <c r="E657" t="s">
        <v>1968</v>
      </c>
      <c r="F657">
        <v>63</v>
      </c>
      <c r="G657">
        <v>22</v>
      </c>
      <c r="H657">
        <v>1087</v>
      </c>
      <c r="I657">
        <v>121</v>
      </c>
      <c r="J657">
        <v>300</v>
      </c>
      <c r="K657">
        <v>0.40300000000000002</v>
      </c>
      <c r="L657">
        <v>64</v>
      </c>
      <c r="M657">
        <v>178</v>
      </c>
      <c r="N657">
        <v>0.36</v>
      </c>
      <c r="O657">
        <v>57</v>
      </c>
      <c r="P657">
        <v>122</v>
      </c>
      <c r="Q657">
        <v>0.46700000000000003</v>
      </c>
      <c r="R657">
        <v>0.51</v>
      </c>
      <c r="S657">
        <v>35</v>
      </c>
      <c r="T657">
        <v>40</v>
      </c>
      <c r="U657">
        <v>0.875</v>
      </c>
      <c r="V657">
        <v>36</v>
      </c>
      <c r="W657">
        <v>130</v>
      </c>
      <c r="X657">
        <v>166</v>
      </c>
      <c r="Y657">
        <v>44</v>
      </c>
      <c r="Z657">
        <v>25</v>
      </c>
      <c r="AA657">
        <v>21</v>
      </c>
      <c r="AB657">
        <v>30</v>
      </c>
      <c r="AC657">
        <v>135</v>
      </c>
      <c r="AD657">
        <v>341</v>
      </c>
    </row>
    <row r="658" spans="1:30" x14ac:dyDescent="0.3">
      <c r="A658">
        <v>482</v>
      </c>
      <c r="B658" t="s">
        <v>2479</v>
      </c>
      <c r="C658" t="s">
        <v>1981</v>
      </c>
      <c r="D658">
        <v>28</v>
      </c>
      <c r="E658" t="s">
        <v>1986</v>
      </c>
      <c r="F658">
        <v>44</v>
      </c>
      <c r="G658">
        <v>22</v>
      </c>
      <c r="H658">
        <v>924</v>
      </c>
      <c r="I658">
        <v>102</v>
      </c>
      <c r="J658">
        <v>240</v>
      </c>
      <c r="K658">
        <v>0.42499999999999999</v>
      </c>
      <c r="L658">
        <v>60</v>
      </c>
      <c r="M658">
        <v>152</v>
      </c>
      <c r="N658">
        <v>0.39500000000000002</v>
      </c>
      <c r="O658">
        <v>42</v>
      </c>
      <c r="P658">
        <v>88</v>
      </c>
      <c r="Q658">
        <v>0.47699999999999998</v>
      </c>
      <c r="R658">
        <v>0.55000000000000004</v>
      </c>
      <c r="S658">
        <v>28</v>
      </c>
      <c r="T658">
        <v>33</v>
      </c>
      <c r="U658">
        <v>0.84799999999999998</v>
      </c>
      <c r="V658">
        <v>27</v>
      </c>
      <c r="W658">
        <v>112</v>
      </c>
      <c r="X658">
        <v>139</v>
      </c>
      <c r="Y658">
        <v>36</v>
      </c>
      <c r="Z658">
        <v>21</v>
      </c>
      <c r="AA658">
        <v>17</v>
      </c>
      <c r="AB658">
        <v>23</v>
      </c>
      <c r="AC658">
        <v>116</v>
      </c>
      <c r="AD658">
        <v>292</v>
      </c>
    </row>
    <row r="659" spans="1:30" x14ac:dyDescent="0.3">
      <c r="A659">
        <v>482</v>
      </c>
      <c r="B659" t="s">
        <v>2479</v>
      </c>
      <c r="C659" t="s">
        <v>1981</v>
      </c>
      <c r="D659">
        <v>28</v>
      </c>
      <c r="E659" t="s">
        <v>1996</v>
      </c>
      <c r="F659">
        <v>19</v>
      </c>
      <c r="G659">
        <v>0</v>
      </c>
      <c r="H659">
        <v>163</v>
      </c>
      <c r="I659">
        <v>19</v>
      </c>
      <c r="J659">
        <v>60</v>
      </c>
      <c r="K659">
        <v>0.317</v>
      </c>
      <c r="L659">
        <v>4</v>
      </c>
      <c r="M659">
        <v>26</v>
      </c>
      <c r="N659">
        <v>0.154</v>
      </c>
      <c r="O659">
        <v>15</v>
      </c>
      <c r="P659">
        <v>34</v>
      </c>
      <c r="Q659">
        <v>0.441</v>
      </c>
      <c r="R659">
        <v>0.35</v>
      </c>
      <c r="S659">
        <v>7</v>
      </c>
      <c r="T659">
        <v>7</v>
      </c>
      <c r="U659">
        <v>1</v>
      </c>
      <c r="V659">
        <v>9</v>
      </c>
      <c r="W659">
        <v>18</v>
      </c>
      <c r="X659">
        <v>27</v>
      </c>
      <c r="Y659">
        <v>8</v>
      </c>
      <c r="Z659">
        <v>4</v>
      </c>
      <c r="AA659">
        <v>4</v>
      </c>
      <c r="AB659">
        <v>7</v>
      </c>
      <c r="AC659">
        <v>19</v>
      </c>
      <c r="AD659">
        <v>49</v>
      </c>
    </row>
    <row r="660" spans="1:30" x14ac:dyDescent="0.3">
      <c r="A660">
        <v>483</v>
      </c>
      <c r="B660" t="s">
        <v>2480</v>
      </c>
      <c r="C660" t="s">
        <v>213</v>
      </c>
      <c r="D660">
        <v>24</v>
      </c>
      <c r="E660" t="s">
        <v>1972</v>
      </c>
      <c r="F660">
        <v>37</v>
      </c>
      <c r="G660">
        <v>0</v>
      </c>
      <c r="H660">
        <v>259</v>
      </c>
      <c r="I660">
        <v>32</v>
      </c>
      <c r="J660">
        <v>64</v>
      </c>
      <c r="K660">
        <v>0.5</v>
      </c>
      <c r="L660">
        <v>0</v>
      </c>
      <c r="M660">
        <v>0</v>
      </c>
      <c r="O660">
        <v>32</v>
      </c>
      <c r="P660">
        <v>64</v>
      </c>
      <c r="Q660">
        <v>0.5</v>
      </c>
      <c r="R660">
        <v>0.5</v>
      </c>
      <c r="S660">
        <v>34</v>
      </c>
      <c r="T660">
        <v>50</v>
      </c>
      <c r="U660">
        <v>0.68</v>
      </c>
      <c r="V660">
        <v>23</v>
      </c>
      <c r="W660">
        <v>41</v>
      </c>
      <c r="X660">
        <v>64</v>
      </c>
      <c r="Y660">
        <v>11</v>
      </c>
      <c r="Z660">
        <v>4</v>
      </c>
      <c r="AA660">
        <v>18</v>
      </c>
      <c r="AB660">
        <v>12</v>
      </c>
      <c r="AC660">
        <v>26</v>
      </c>
      <c r="AD660">
        <v>98</v>
      </c>
    </row>
    <row r="661" spans="1:30" x14ac:dyDescent="0.3">
      <c r="A661">
        <v>484</v>
      </c>
      <c r="B661" t="s">
        <v>2481</v>
      </c>
      <c r="C661" t="s">
        <v>2004</v>
      </c>
      <c r="D661">
        <v>23</v>
      </c>
      <c r="E661" t="s">
        <v>1968</v>
      </c>
      <c r="F661">
        <v>21</v>
      </c>
      <c r="G661">
        <v>0</v>
      </c>
      <c r="H661">
        <v>247</v>
      </c>
      <c r="I661">
        <v>20</v>
      </c>
      <c r="J661">
        <v>57</v>
      </c>
      <c r="K661">
        <v>0.35099999999999998</v>
      </c>
      <c r="L661">
        <v>0</v>
      </c>
      <c r="M661">
        <v>7</v>
      </c>
      <c r="N661">
        <v>0</v>
      </c>
      <c r="O661">
        <v>20</v>
      </c>
      <c r="P661">
        <v>50</v>
      </c>
      <c r="Q661">
        <v>0.4</v>
      </c>
      <c r="R661">
        <v>0.35099999999999998</v>
      </c>
      <c r="S661">
        <v>2</v>
      </c>
      <c r="T661">
        <v>6</v>
      </c>
      <c r="U661">
        <v>0.33300000000000002</v>
      </c>
      <c r="V661">
        <v>8</v>
      </c>
      <c r="W661">
        <v>26</v>
      </c>
      <c r="X661">
        <v>34</v>
      </c>
      <c r="Y661">
        <v>21</v>
      </c>
      <c r="Z661">
        <v>8</v>
      </c>
      <c r="AA661">
        <v>2</v>
      </c>
      <c r="AB661">
        <v>13</v>
      </c>
      <c r="AC661">
        <v>18</v>
      </c>
      <c r="AD661">
        <v>42</v>
      </c>
    </row>
    <row r="662" spans="1:30" x14ac:dyDescent="0.3">
      <c r="A662">
        <v>484</v>
      </c>
      <c r="B662" t="s">
        <v>2481</v>
      </c>
      <c r="C662" t="s">
        <v>2004</v>
      </c>
      <c r="D662">
        <v>23</v>
      </c>
      <c r="E662" t="s">
        <v>1993</v>
      </c>
      <c r="F662">
        <v>11</v>
      </c>
      <c r="G662">
        <v>0</v>
      </c>
      <c r="H662">
        <v>142</v>
      </c>
      <c r="I662">
        <v>12</v>
      </c>
      <c r="J662">
        <v>31</v>
      </c>
      <c r="K662">
        <v>0.38700000000000001</v>
      </c>
      <c r="L662">
        <v>0</v>
      </c>
      <c r="M662">
        <v>5</v>
      </c>
      <c r="N662">
        <v>0</v>
      </c>
      <c r="O662">
        <v>12</v>
      </c>
      <c r="P662">
        <v>26</v>
      </c>
      <c r="Q662">
        <v>0.46200000000000002</v>
      </c>
      <c r="R662">
        <v>0.38700000000000001</v>
      </c>
      <c r="S662">
        <v>1</v>
      </c>
      <c r="T662">
        <v>4</v>
      </c>
      <c r="U662">
        <v>0.25</v>
      </c>
      <c r="V662">
        <v>2</v>
      </c>
      <c r="W662">
        <v>14</v>
      </c>
      <c r="X662">
        <v>16</v>
      </c>
      <c r="Y662">
        <v>10</v>
      </c>
      <c r="Z662">
        <v>5</v>
      </c>
      <c r="AA662">
        <v>0</v>
      </c>
      <c r="AB662">
        <v>3</v>
      </c>
      <c r="AC662">
        <v>11</v>
      </c>
      <c r="AD662">
        <v>25</v>
      </c>
    </row>
    <row r="663" spans="1:30" x14ac:dyDescent="0.3">
      <c r="A663">
        <v>484</v>
      </c>
      <c r="B663" t="s">
        <v>2481</v>
      </c>
      <c r="C663" t="s">
        <v>2004</v>
      </c>
      <c r="D663">
        <v>23</v>
      </c>
      <c r="E663" t="s">
        <v>1972</v>
      </c>
      <c r="F663">
        <v>10</v>
      </c>
      <c r="G663">
        <v>0</v>
      </c>
      <c r="H663">
        <v>105</v>
      </c>
      <c r="I663">
        <v>8</v>
      </c>
      <c r="J663">
        <v>26</v>
      </c>
      <c r="K663">
        <v>0.308</v>
      </c>
      <c r="L663">
        <v>0</v>
      </c>
      <c r="M663">
        <v>2</v>
      </c>
      <c r="N663">
        <v>0</v>
      </c>
      <c r="O663">
        <v>8</v>
      </c>
      <c r="P663">
        <v>24</v>
      </c>
      <c r="Q663">
        <v>0.33300000000000002</v>
      </c>
      <c r="R663">
        <v>0.308</v>
      </c>
      <c r="S663">
        <v>1</v>
      </c>
      <c r="T663">
        <v>2</v>
      </c>
      <c r="U663">
        <v>0.5</v>
      </c>
      <c r="V663">
        <v>6</v>
      </c>
      <c r="W663">
        <v>12</v>
      </c>
      <c r="X663">
        <v>18</v>
      </c>
      <c r="Y663">
        <v>11</v>
      </c>
      <c r="Z663">
        <v>3</v>
      </c>
      <c r="AA663">
        <v>2</v>
      </c>
      <c r="AB663">
        <v>10</v>
      </c>
      <c r="AC663">
        <v>7</v>
      </c>
      <c r="AD663">
        <v>17</v>
      </c>
    </row>
    <row r="664" spans="1:30" x14ac:dyDescent="0.3">
      <c r="A664">
        <v>485</v>
      </c>
      <c r="B664" t="s">
        <v>2482</v>
      </c>
      <c r="C664" t="s">
        <v>1956</v>
      </c>
      <c r="D664">
        <v>27</v>
      </c>
      <c r="E664" t="s">
        <v>1968</v>
      </c>
      <c r="F664">
        <v>75</v>
      </c>
      <c r="G664">
        <v>7</v>
      </c>
      <c r="H664">
        <v>1449</v>
      </c>
      <c r="I664">
        <v>233</v>
      </c>
      <c r="J664">
        <v>363</v>
      </c>
      <c r="K664">
        <v>0.64200000000000002</v>
      </c>
      <c r="L664">
        <v>0</v>
      </c>
      <c r="M664">
        <v>3</v>
      </c>
      <c r="N664">
        <v>0</v>
      </c>
      <c r="O664">
        <v>233</v>
      </c>
      <c r="P664">
        <v>360</v>
      </c>
      <c r="Q664">
        <v>0.64700000000000002</v>
      </c>
      <c r="R664">
        <v>0.64200000000000002</v>
      </c>
      <c r="S664">
        <v>78</v>
      </c>
      <c r="T664">
        <v>112</v>
      </c>
      <c r="U664">
        <v>0.69599999999999995</v>
      </c>
      <c r="V664">
        <v>128</v>
      </c>
      <c r="W664">
        <v>193</v>
      </c>
      <c r="X664">
        <v>321</v>
      </c>
      <c r="Y664">
        <v>41</v>
      </c>
      <c r="Z664">
        <v>50</v>
      </c>
      <c r="AA664">
        <v>94</v>
      </c>
      <c r="AB664">
        <v>34</v>
      </c>
      <c r="AC664">
        <v>102</v>
      </c>
      <c r="AD664">
        <v>544</v>
      </c>
    </row>
    <row r="665" spans="1:30" x14ac:dyDescent="0.3">
      <c r="A665">
        <v>485</v>
      </c>
      <c r="B665" t="s">
        <v>2482</v>
      </c>
      <c r="C665" t="s">
        <v>1956</v>
      </c>
      <c r="D665">
        <v>27</v>
      </c>
      <c r="E665" t="s">
        <v>1982</v>
      </c>
      <c r="F665">
        <v>27</v>
      </c>
      <c r="G665">
        <v>0</v>
      </c>
      <c r="H665">
        <v>505</v>
      </c>
      <c r="I665">
        <v>101</v>
      </c>
      <c r="J665">
        <v>135</v>
      </c>
      <c r="K665">
        <v>0.748</v>
      </c>
      <c r="L665">
        <v>0</v>
      </c>
      <c r="M665">
        <v>0</v>
      </c>
      <c r="O665">
        <v>101</v>
      </c>
      <c r="P665">
        <v>135</v>
      </c>
      <c r="Q665">
        <v>0.748</v>
      </c>
      <c r="R665">
        <v>0.748</v>
      </c>
      <c r="S665">
        <v>36</v>
      </c>
      <c r="T665">
        <v>48</v>
      </c>
      <c r="U665">
        <v>0.75</v>
      </c>
      <c r="V665">
        <v>51</v>
      </c>
      <c r="W665">
        <v>59</v>
      </c>
      <c r="X665">
        <v>110</v>
      </c>
      <c r="Y665">
        <v>10</v>
      </c>
      <c r="Z665">
        <v>17</v>
      </c>
      <c r="AA665">
        <v>42</v>
      </c>
      <c r="AB665">
        <v>13</v>
      </c>
      <c r="AC665">
        <v>44</v>
      </c>
      <c r="AD665">
        <v>238</v>
      </c>
    </row>
    <row r="666" spans="1:30" x14ac:dyDescent="0.3">
      <c r="A666">
        <v>485</v>
      </c>
      <c r="B666" t="s">
        <v>2482</v>
      </c>
      <c r="C666" t="s">
        <v>1956</v>
      </c>
      <c r="D666">
        <v>27</v>
      </c>
      <c r="E666" t="s">
        <v>2020</v>
      </c>
      <c r="F666">
        <v>8</v>
      </c>
      <c r="G666">
        <v>0</v>
      </c>
      <c r="H666">
        <v>86</v>
      </c>
      <c r="I666">
        <v>12</v>
      </c>
      <c r="J666">
        <v>21</v>
      </c>
      <c r="K666">
        <v>0.57099999999999995</v>
      </c>
      <c r="L666">
        <v>0</v>
      </c>
      <c r="M666">
        <v>0</v>
      </c>
      <c r="O666">
        <v>12</v>
      </c>
      <c r="P666">
        <v>21</v>
      </c>
      <c r="Q666">
        <v>0.57099999999999995</v>
      </c>
      <c r="R666">
        <v>0.57099999999999995</v>
      </c>
      <c r="S666">
        <v>2</v>
      </c>
      <c r="T666">
        <v>4</v>
      </c>
      <c r="U666">
        <v>0.5</v>
      </c>
      <c r="V666">
        <v>7</v>
      </c>
      <c r="W666">
        <v>10</v>
      </c>
      <c r="X666">
        <v>17</v>
      </c>
      <c r="Y666">
        <v>8</v>
      </c>
      <c r="Z666">
        <v>1</v>
      </c>
      <c r="AA666">
        <v>5</v>
      </c>
      <c r="AB666">
        <v>5</v>
      </c>
      <c r="AC666">
        <v>4</v>
      </c>
      <c r="AD666">
        <v>26</v>
      </c>
    </row>
    <row r="667" spans="1:30" x14ac:dyDescent="0.3">
      <c r="A667">
        <v>485</v>
      </c>
      <c r="B667" t="s">
        <v>2482</v>
      </c>
      <c r="C667" t="s">
        <v>1956</v>
      </c>
      <c r="D667">
        <v>27</v>
      </c>
      <c r="E667" t="s">
        <v>2017</v>
      </c>
      <c r="F667">
        <v>40</v>
      </c>
      <c r="G667">
        <v>7</v>
      </c>
      <c r="H667">
        <v>858</v>
      </c>
      <c r="I667">
        <v>120</v>
      </c>
      <c r="J667">
        <v>207</v>
      </c>
      <c r="K667">
        <v>0.57999999999999996</v>
      </c>
      <c r="L667">
        <v>0</v>
      </c>
      <c r="M667">
        <v>3</v>
      </c>
      <c r="N667">
        <v>0</v>
      </c>
      <c r="O667">
        <v>120</v>
      </c>
      <c r="P667">
        <v>204</v>
      </c>
      <c r="Q667">
        <v>0.58799999999999997</v>
      </c>
      <c r="R667">
        <v>0.57999999999999996</v>
      </c>
      <c r="S667">
        <v>40</v>
      </c>
      <c r="T667">
        <v>60</v>
      </c>
      <c r="U667">
        <v>0.66700000000000004</v>
      </c>
      <c r="V667">
        <v>70</v>
      </c>
      <c r="W667">
        <v>124</v>
      </c>
      <c r="X667">
        <v>194</v>
      </c>
      <c r="Y667">
        <v>23</v>
      </c>
      <c r="Z667">
        <v>32</v>
      </c>
      <c r="AA667">
        <v>47</v>
      </c>
      <c r="AB667">
        <v>16</v>
      </c>
      <c r="AC667">
        <v>54</v>
      </c>
      <c r="AD667">
        <v>280</v>
      </c>
    </row>
    <row r="668" spans="1:30" x14ac:dyDescent="0.3">
      <c r="A668">
        <v>486</v>
      </c>
      <c r="B668" t="s">
        <v>2483</v>
      </c>
      <c r="C668" t="s">
        <v>1981</v>
      </c>
      <c r="D668">
        <v>29</v>
      </c>
      <c r="E668" t="s">
        <v>1970</v>
      </c>
      <c r="F668">
        <v>48</v>
      </c>
      <c r="G668">
        <v>2</v>
      </c>
      <c r="H668">
        <v>592</v>
      </c>
      <c r="I668">
        <v>72</v>
      </c>
      <c r="J668">
        <v>190</v>
      </c>
      <c r="K668">
        <v>0.379</v>
      </c>
      <c r="L668">
        <v>41</v>
      </c>
      <c r="M668">
        <v>108</v>
      </c>
      <c r="N668">
        <v>0.38</v>
      </c>
      <c r="O668">
        <v>31</v>
      </c>
      <c r="P668">
        <v>82</v>
      </c>
      <c r="Q668">
        <v>0.378</v>
      </c>
      <c r="R668">
        <v>0.48699999999999999</v>
      </c>
      <c r="S668">
        <v>34</v>
      </c>
      <c r="T668">
        <v>42</v>
      </c>
      <c r="U668">
        <v>0.81</v>
      </c>
      <c r="V668">
        <v>14</v>
      </c>
      <c r="W668">
        <v>97</v>
      </c>
      <c r="X668">
        <v>111</v>
      </c>
      <c r="Y668">
        <v>41</v>
      </c>
      <c r="Z668">
        <v>20</v>
      </c>
      <c r="AA668">
        <v>11</v>
      </c>
      <c r="AB668">
        <v>18</v>
      </c>
      <c r="AC668">
        <v>55</v>
      </c>
      <c r="AD668">
        <v>219</v>
      </c>
    </row>
    <row r="669" spans="1:30" x14ac:dyDescent="0.3">
      <c r="A669">
        <v>487</v>
      </c>
      <c r="B669" t="s">
        <v>2484</v>
      </c>
      <c r="C669" t="s">
        <v>2004</v>
      </c>
      <c r="D669">
        <v>21</v>
      </c>
      <c r="E669" t="s">
        <v>1974</v>
      </c>
      <c r="F669">
        <v>30</v>
      </c>
      <c r="G669">
        <v>15</v>
      </c>
      <c r="H669">
        <v>895</v>
      </c>
      <c r="I669">
        <v>175</v>
      </c>
      <c r="J669">
        <v>434</v>
      </c>
      <c r="K669">
        <v>0.40300000000000002</v>
      </c>
      <c r="L669">
        <v>37</v>
      </c>
      <c r="M669">
        <v>142</v>
      </c>
      <c r="N669">
        <v>0.26100000000000001</v>
      </c>
      <c r="O669">
        <v>138</v>
      </c>
      <c r="P669">
        <v>292</v>
      </c>
      <c r="Q669">
        <v>0.47299999999999998</v>
      </c>
      <c r="R669">
        <v>0.44600000000000001</v>
      </c>
      <c r="S669">
        <v>120</v>
      </c>
      <c r="T669">
        <v>180</v>
      </c>
      <c r="U669">
        <v>0.66700000000000004</v>
      </c>
      <c r="V669">
        <v>22</v>
      </c>
      <c r="W669">
        <v>64</v>
      </c>
      <c r="X669">
        <v>86</v>
      </c>
      <c r="Y669">
        <v>157</v>
      </c>
      <c r="Z669">
        <v>48</v>
      </c>
      <c r="AA669">
        <v>8</v>
      </c>
      <c r="AB669">
        <v>113</v>
      </c>
      <c r="AC669">
        <v>72</v>
      </c>
      <c r="AD669">
        <v>507</v>
      </c>
    </row>
    <row r="670" spans="1:30" x14ac:dyDescent="0.3">
      <c r="A670">
        <v>488</v>
      </c>
      <c r="B670" t="s">
        <v>2485</v>
      </c>
      <c r="C670" t="s">
        <v>1961</v>
      </c>
      <c r="D670">
        <v>19</v>
      </c>
      <c r="E670" t="s">
        <v>2020</v>
      </c>
      <c r="F670">
        <v>31</v>
      </c>
      <c r="G670">
        <v>0</v>
      </c>
      <c r="H670">
        <v>332</v>
      </c>
      <c r="I670">
        <v>36</v>
      </c>
      <c r="J670">
        <v>102</v>
      </c>
      <c r="K670">
        <v>0.35299999999999998</v>
      </c>
      <c r="L670">
        <v>17</v>
      </c>
      <c r="M670">
        <v>66</v>
      </c>
      <c r="N670">
        <v>0.25800000000000001</v>
      </c>
      <c r="O670">
        <v>19</v>
      </c>
      <c r="P670">
        <v>36</v>
      </c>
      <c r="Q670">
        <v>0.52800000000000002</v>
      </c>
      <c r="R670">
        <v>0.436</v>
      </c>
      <c r="S670">
        <v>16</v>
      </c>
      <c r="T670">
        <v>29</v>
      </c>
      <c r="U670">
        <v>0.55200000000000005</v>
      </c>
      <c r="V670">
        <v>9</v>
      </c>
      <c r="W670">
        <v>33</v>
      </c>
      <c r="X670">
        <v>42</v>
      </c>
      <c r="Y670">
        <v>13</v>
      </c>
      <c r="Z670">
        <v>8</v>
      </c>
      <c r="AA670">
        <v>2</v>
      </c>
      <c r="AB670">
        <v>5</v>
      </c>
      <c r="AC670">
        <v>22</v>
      </c>
      <c r="AD670">
        <v>105</v>
      </c>
    </row>
    <row r="671" spans="1:30" x14ac:dyDescent="0.3">
      <c r="A671">
        <v>489</v>
      </c>
      <c r="B671" t="s">
        <v>2486</v>
      </c>
      <c r="C671" t="s">
        <v>1961</v>
      </c>
      <c r="D671">
        <v>29</v>
      </c>
      <c r="E671" t="s">
        <v>2038</v>
      </c>
      <c r="F671">
        <v>42</v>
      </c>
      <c r="G671">
        <v>0</v>
      </c>
      <c r="H671">
        <v>1000</v>
      </c>
      <c r="I671">
        <v>174</v>
      </c>
      <c r="J671">
        <v>476</v>
      </c>
      <c r="K671">
        <v>0.36599999999999999</v>
      </c>
      <c r="L671">
        <v>83</v>
      </c>
      <c r="M671">
        <v>225</v>
      </c>
      <c r="N671">
        <v>0.36899999999999999</v>
      </c>
      <c r="O671">
        <v>91</v>
      </c>
      <c r="P671">
        <v>251</v>
      </c>
      <c r="Q671">
        <v>0.36299999999999999</v>
      </c>
      <c r="R671">
        <v>0.45300000000000001</v>
      </c>
      <c r="S671">
        <v>132</v>
      </c>
      <c r="T671">
        <v>148</v>
      </c>
      <c r="U671">
        <v>0.89200000000000002</v>
      </c>
      <c r="V671">
        <v>17</v>
      </c>
      <c r="W671">
        <v>79</v>
      </c>
      <c r="X671">
        <v>96</v>
      </c>
      <c r="Y671">
        <v>41</v>
      </c>
      <c r="Z671">
        <v>23</v>
      </c>
      <c r="AA671">
        <v>11</v>
      </c>
      <c r="AB671">
        <v>44</v>
      </c>
      <c r="AC671">
        <v>83</v>
      </c>
      <c r="AD671">
        <v>563</v>
      </c>
    </row>
    <row r="672" spans="1:30" x14ac:dyDescent="0.3">
      <c r="A672">
        <v>490</v>
      </c>
      <c r="B672" t="s">
        <v>2487</v>
      </c>
      <c r="C672" t="s">
        <v>1956</v>
      </c>
      <c r="D672">
        <v>26</v>
      </c>
      <c r="E672" t="s">
        <v>1968</v>
      </c>
      <c r="F672">
        <v>76</v>
      </c>
      <c r="G672">
        <v>68</v>
      </c>
      <c r="H672">
        <v>2434</v>
      </c>
      <c r="I672">
        <v>451</v>
      </c>
      <c r="J672">
        <v>968</v>
      </c>
      <c r="K672">
        <v>0.46600000000000003</v>
      </c>
      <c r="L672">
        <v>38</v>
      </c>
      <c r="M672">
        <v>115</v>
      </c>
      <c r="N672">
        <v>0.33</v>
      </c>
      <c r="O672">
        <v>413</v>
      </c>
      <c r="P672">
        <v>853</v>
      </c>
      <c r="Q672">
        <v>0.48399999999999999</v>
      </c>
      <c r="R672">
        <v>0.48599999999999999</v>
      </c>
      <c r="S672">
        <v>131</v>
      </c>
      <c r="T672">
        <v>200</v>
      </c>
      <c r="U672">
        <v>0.65500000000000003</v>
      </c>
      <c r="V672">
        <v>127</v>
      </c>
      <c r="W672">
        <v>284</v>
      </c>
      <c r="X672">
        <v>411</v>
      </c>
      <c r="Y672">
        <v>173</v>
      </c>
      <c r="Z672">
        <v>124</v>
      </c>
      <c r="AA672">
        <v>25</v>
      </c>
      <c r="AB672">
        <v>117</v>
      </c>
      <c r="AC672">
        <v>171</v>
      </c>
      <c r="AD672">
        <v>1071</v>
      </c>
    </row>
    <row r="673" spans="1:30" x14ac:dyDescent="0.3">
      <c r="A673">
        <v>490</v>
      </c>
      <c r="B673" t="s">
        <v>2487</v>
      </c>
      <c r="C673" t="s">
        <v>1956</v>
      </c>
      <c r="D673">
        <v>26</v>
      </c>
      <c r="E673" t="s">
        <v>1966</v>
      </c>
      <c r="F673">
        <v>48</v>
      </c>
      <c r="G673">
        <v>48</v>
      </c>
      <c r="H673">
        <v>1605</v>
      </c>
      <c r="I673">
        <v>289</v>
      </c>
      <c r="J673">
        <v>641</v>
      </c>
      <c r="K673">
        <v>0.45100000000000001</v>
      </c>
      <c r="L673">
        <v>19</v>
      </c>
      <c r="M673">
        <v>65</v>
      </c>
      <c r="N673">
        <v>0.29199999999999998</v>
      </c>
      <c r="O673">
        <v>270</v>
      </c>
      <c r="P673">
        <v>576</v>
      </c>
      <c r="Q673">
        <v>0.46899999999999997</v>
      </c>
      <c r="R673">
        <v>0.46600000000000003</v>
      </c>
      <c r="S673">
        <v>88</v>
      </c>
      <c r="T673">
        <v>129</v>
      </c>
      <c r="U673">
        <v>0.68200000000000005</v>
      </c>
      <c r="V673">
        <v>75</v>
      </c>
      <c r="W673">
        <v>170</v>
      </c>
      <c r="X673">
        <v>245</v>
      </c>
      <c r="Y673">
        <v>135</v>
      </c>
      <c r="Z673">
        <v>86</v>
      </c>
      <c r="AA673">
        <v>17</v>
      </c>
      <c r="AB673">
        <v>75</v>
      </c>
      <c r="AC673">
        <v>115</v>
      </c>
      <c r="AD673">
        <v>685</v>
      </c>
    </row>
    <row r="674" spans="1:30" x14ac:dyDescent="0.3">
      <c r="A674">
        <v>490</v>
      </c>
      <c r="B674" t="s">
        <v>2487</v>
      </c>
      <c r="C674" t="s">
        <v>1956</v>
      </c>
      <c r="D674">
        <v>26</v>
      </c>
      <c r="E674" t="s">
        <v>1988</v>
      </c>
      <c r="F674">
        <v>28</v>
      </c>
      <c r="G674">
        <v>20</v>
      </c>
      <c r="H674">
        <v>829</v>
      </c>
      <c r="I674">
        <v>162</v>
      </c>
      <c r="J674">
        <v>327</v>
      </c>
      <c r="K674">
        <v>0.495</v>
      </c>
      <c r="L674">
        <v>19</v>
      </c>
      <c r="M674">
        <v>50</v>
      </c>
      <c r="N674">
        <v>0.38</v>
      </c>
      <c r="O674">
        <v>143</v>
      </c>
      <c r="P674">
        <v>277</v>
      </c>
      <c r="Q674">
        <v>0.51600000000000001</v>
      </c>
      <c r="R674">
        <v>0.52400000000000002</v>
      </c>
      <c r="S674">
        <v>43</v>
      </c>
      <c r="T674">
        <v>71</v>
      </c>
      <c r="U674">
        <v>0.60599999999999998</v>
      </c>
      <c r="V674">
        <v>52</v>
      </c>
      <c r="W674">
        <v>114</v>
      </c>
      <c r="X674">
        <v>166</v>
      </c>
      <c r="Y674">
        <v>38</v>
      </c>
      <c r="Z674">
        <v>38</v>
      </c>
      <c r="AA674">
        <v>8</v>
      </c>
      <c r="AB674">
        <v>42</v>
      </c>
      <c r="AC674">
        <v>56</v>
      </c>
      <c r="AD674">
        <v>386</v>
      </c>
    </row>
    <row r="675" spans="1:30" x14ac:dyDescent="0.3">
      <c r="A675">
        <v>491</v>
      </c>
      <c r="B675" t="s">
        <v>2488</v>
      </c>
      <c r="C675" t="s">
        <v>213</v>
      </c>
      <c r="D675">
        <v>22</v>
      </c>
      <c r="E675" t="s">
        <v>2036</v>
      </c>
      <c r="F675">
        <v>62</v>
      </c>
      <c r="G675">
        <v>45</v>
      </c>
      <c r="H675">
        <v>1487</v>
      </c>
      <c r="I675">
        <v>172</v>
      </c>
      <c r="J675">
        <v>373</v>
      </c>
      <c r="K675">
        <v>0.46100000000000002</v>
      </c>
      <c r="L675">
        <v>1</v>
      </c>
      <c r="M675">
        <v>1</v>
      </c>
      <c r="N675">
        <v>1</v>
      </c>
      <c r="O675">
        <v>171</v>
      </c>
      <c r="P675">
        <v>372</v>
      </c>
      <c r="Q675">
        <v>0.46</v>
      </c>
      <c r="R675">
        <v>0.46200000000000002</v>
      </c>
      <c r="S675">
        <v>127</v>
      </c>
      <c r="T675">
        <v>164</v>
      </c>
      <c r="U675">
        <v>0.77400000000000002</v>
      </c>
      <c r="V675">
        <v>97</v>
      </c>
      <c r="W675">
        <v>265</v>
      </c>
      <c r="X675">
        <v>362</v>
      </c>
      <c r="Y675">
        <v>100</v>
      </c>
      <c r="Z675">
        <v>34</v>
      </c>
      <c r="AA675">
        <v>49</v>
      </c>
      <c r="AB675">
        <v>62</v>
      </c>
      <c r="AC675">
        <v>156</v>
      </c>
      <c r="AD675">
        <v>472</v>
      </c>
    </row>
    <row r="676" spans="1:30" x14ac:dyDescent="0.3">
      <c r="A676">
        <v>492</v>
      </c>
      <c r="B676" t="s">
        <v>2489</v>
      </c>
      <c r="C676" t="s">
        <v>213</v>
      </c>
      <c r="D676">
        <v>25</v>
      </c>
      <c r="E676" t="s">
        <v>2020</v>
      </c>
      <c r="F676">
        <v>82</v>
      </c>
      <c r="G676">
        <v>59</v>
      </c>
      <c r="H676">
        <v>1731</v>
      </c>
      <c r="I676">
        <v>340</v>
      </c>
      <c r="J676">
        <v>619</v>
      </c>
      <c r="K676">
        <v>0.54900000000000004</v>
      </c>
      <c r="L676">
        <v>0</v>
      </c>
      <c r="M676">
        <v>0</v>
      </c>
      <c r="O676">
        <v>340</v>
      </c>
      <c r="P676">
        <v>619</v>
      </c>
      <c r="Q676">
        <v>0.54900000000000004</v>
      </c>
      <c r="R676">
        <v>0.54900000000000004</v>
      </c>
      <c r="S676">
        <v>153</v>
      </c>
      <c r="T676">
        <v>186</v>
      </c>
      <c r="U676">
        <v>0.82299999999999995</v>
      </c>
      <c r="V676">
        <v>146</v>
      </c>
      <c r="W676">
        <v>319</v>
      </c>
      <c r="X676">
        <v>465</v>
      </c>
      <c r="Y676">
        <v>113</v>
      </c>
      <c r="Z676">
        <v>18</v>
      </c>
      <c r="AA676">
        <v>52</v>
      </c>
      <c r="AB676">
        <v>76</v>
      </c>
      <c r="AC676">
        <v>205</v>
      </c>
      <c r="AD676">
        <v>833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5AB6-C36F-4693-A603-040AD173D778}">
  <sheetPr codeName="Sheet4"/>
  <dimension ref="A2:P232"/>
  <sheetViews>
    <sheetView showGridLines="0" zoomScale="89" zoomScaleNormal="89" workbookViewId="0">
      <pane ySplit="2" topLeftCell="A3" activePane="bottomLeft" state="frozen"/>
      <selection pane="bottomLeft" activeCell="B5" sqref="B5"/>
    </sheetView>
  </sheetViews>
  <sheetFormatPr defaultRowHeight="14.4" x14ac:dyDescent="0.3"/>
  <cols>
    <col min="1" max="1" width="8.88671875" style="2"/>
    <col min="2" max="2" width="13.33203125" style="2" bestFit="1" customWidth="1"/>
    <col min="3" max="3" width="13.44140625" style="2" customWidth="1"/>
    <col min="4" max="4" width="23" style="2" customWidth="1"/>
    <col min="5" max="6" width="8.88671875" style="2"/>
    <col min="7" max="7" width="10.44140625" style="2" customWidth="1"/>
    <col min="8" max="8" width="2.6640625" style="2" bestFit="1" customWidth="1"/>
    <col min="9" max="9" width="30.77734375" style="2" bestFit="1" customWidth="1"/>
    <col min="10" max="10" width="7.33203125" style="2" bestFit="1" customWidth="1"/>
    <col min="11" max="11" width="17.44140625" style="2" bestFit="1" customWidth="1"/>
    <col min="12" max="12" width="22.6640625" style="2" bestFit="1" customWidth="1"/>
    <col min="13" max="13" width="34.77734375" style="2" bestFit="1" customWidth="1"/>
    <col min="14" max="16384" width="8.88671875" style="2"/>
  </cols>
  <sheetData>
    <row r="2" spans="1:16" x14ac:dyDescent="0.3">
      <c r="A2" s="1" t="s">
        <v>190</v>
      </c>
      <c r="E2" s="3"/>
      <c r="F2" s="4" t="s">
        <v>2501</v>
      </c>
    </row>
    <row r="3" spans="1:16" ht="15" thickBot="1" x14ac:dyDescent="0.35"/>
    <row r="4" spans="1:16" x14ac:dyDescent="0.3">
      <c r="B4" s="5" t="s">
        <v>189</v>
      </c>
      <c r="C4" s="6"/>
      <c r="D4" s="7"/>
      <c r="E4" s="7"/>
      <c r="F4" s="7"/>
      <c r="G4" s="7"/>
      <c r="H4" s="7"/>
      <c r="I4" s="7"/>
      <c r="J4" s="7"/>
      <c r="K4" s="7"/>
      <c r="L4" s="7"/>
      <c r="M4" s="7"/>
      <c r="N4" s="7"/>
      <c r="O4" s="7"/>
      <c r="P4" s="8"/>
    </row>
    <row r="5" spans="1:16" x14ac:dyDescent="0.3">
      <c r="B5" s="9" t="e" cm="1" vm="1">
        <f t="array" ref="B5">_xlfn._xlws.PY(0,1,services[#All])</f>
        <v>#VALUE!</v>
      </c>
      <c r="C5" s="2" t="str" cm="1">
        <f t="array" ref="C5:M16">_FV(B5,"arrayPreview")</f>
        <v>id</v>
      </c>
      <c r="D5" s="2" t="str">
        <v>location_id</v>
      </c>
      <c r="E5" s="2" t="str">
        <v>program_id</v>
      </c>
      <c r="F5" s="2" t="str">
        <v>accepted_payments</v>
      </c>
      <c r="G5" s="2" t="str">
        <v>alternate_name</v>
      </c>
      <c r="H5" s="2" t="str">
        <v>...</v>
      </c>
      <c r="I5" s="2" t="str">
        <v>service_areas</v>
      </c>
      <c r="J5" s="2" t="str">
        <v>status</v>
      </c>
      <c r="K5" s="2" t="str">
        <v>wait_time</v>
      </c>
      <c r="L5" s="2" t="str">
        <v>website</v>
      </c>
      <c r="M5" s="2" t="str">
        <v>taxonomy_ids</v>
      </c>
      <c r="P5" s="10"/>
    </row>
    <row r="6" spans="1:16" x14ac:dyDescent="0.3">
      <c r="B6" s="9"/>
      <c r="C6" s="2">
        <v>1</v>
      </c>
      <c r="D6" s="2">
        <v>1</v>
      </c>
      <c r="E6" s="2" t="str">
        <v/>
      </c>
      <c r="F6" s="2" t="str">
        <v/>
      </c>
      <c r="G6" s="2" t="str">
        <v/>
      </c>
      <c r="H6" s="2" t="str">
        <v>...</v>
      </c>
      <c r="I6" s="2" t="str">
        <v>Colma</v>
      </c>
      <c r="J6" s="2" t="str">
        <v>active</v>
      </c>
      <c r="K6" s="2" t="str">
        <v>No wait.</v>
      </c>
      <c r="L6" s="2" t="str">
        <v/>
      </c>
      <c r="M6" s="2" t="str">
        <v/>
      </c>
      <c r="P6" s="10"/>
    </row>
    <row r="7" spans="1:16" x14ac:dyDescent="0.3">
      <c r="B7" s="9"/>
      <c r="C7" s="2">
        <v>2</v>
      </c>
      <c r="D7" s="2">
        <v>2</v>
      </c>
      <c r="E7" s="2" t="str">
        <v/>
      </c>
      <c r="F7" s="2" t="str">
        <v/>
      </c>
      <c r="G7" s="2" t="str">
        <v/>
      </c>
      <c r="H7" s="2" t="str">
        <v>...</v>
      </c>
      <c r="I7" s="2" t="str">
        <v>San Mateo County</v>
      </c>
      <c r="J7" s="2" t="str">
        <v>active</v>
      </c>
      <c r="K7" s="2" t="str">
        <v>Varies.</v>
      </c>
      <c r="L7" s="2" t="str">
        <v/>
      </c>
      <c r="M7" s="2" t="str">
        <v/>
      </c>
      <c r="P7" s="10"/>
    </row>
    <row r="8" spans="1:16" x14ac:dyDescent="0.3">
      <c r="B8" s="9"/>
      <c r="C8" s="2">
        <v>3</v>
      </c>
      <c r="D8" s="2">
        <v>3</v>
      </c>
      <c r="E8" s="2" t="str">
        <v/>
      </c>
      <c r="F8" s="2" t="str">
        <v/>
      </c>
      <c r="G8" s="2" t="str">
        <v/>
      </c>
      <c r="H8" s="2" t="str">
        <v>...</v>
      </c>
      <c r="I8" s="2" t="str">
        <v>San Mateo County</v>
      </c>
      <c r="J8" s="2" t="str">
        <v>active</v>
      </c>
      <c r="K8" s="2" t="str">
        <v>Varies.</v>
      </c>
      <c r="L8" s="2" t="str">
        <v/>
      </c>
      <c r="M8" s="2" t="str">
        <v/>
      </c>
      <c r="P8" s="10"/>
    </row>
    <row r="9" spans="1:16" x14ac:dyDescent="0.3">
      <c r="B9" s="9"/>
      <c r="C9" s="2">
        <v>4</v>
      </c>
      <c r="D9" s="2">
        <v>4</v>
      </c>
      <c r="E9" s="2" t="str">
        <v/>
      </c>
      <c r="F9" s="2" t="str">
        <v/>
      </c>
      <c r="G9" s="2" t="str">
        <v/>
      </c>
      <c r="H9" s="2" t="str">
        <v>...</v>
      </c>
      <c r="I9" s="2" t="str">
        <v>San Mateo County</v>
      </c>
      <c r="J9" s="2" t="str">
        <v>active</v>
      </c>
      <c r="K9" s="2" t="str">
        <v>No wait.</v>
      </c>
      <c r="L9" s="2" t="str">
        <v/>
      </c>
      <c r="M9" s="2" t="str">
        <v/>
      </c>
      <c r="P9" s="10"/>
    </row>
    <row r="10" spans="1:16" x14ac:dyDescent="0.3">
      <c r="B10" s="9"/>
      <c r="C10" s="2">
        <v>5</v>
      </c>
      <c r="D10" s="2">
        <v>5</v>
      </c>
      <c r="E10" s="2" t="str">
        <v/>
      </c>
      <c r="F10" s="2" t="str">
        <v/>
      </c>
      <c r="G10" s="2" t="str">
        <v/>
      </c>
      <c r="H10" s="2" t="str">
        <v>...</v>
      </c>
      <c r="I10" s="2" t="str">
        <v>San Mateo County</v>
      </c>
      <c r="J10" s="2" t="str">
        <v>active</v>
      </c>
      <c r="K10" s="2" t="str">
        <v/>
      </c>
      <c r="L10" s="2" t="str">
        <v/>
      </c>
      <c r="M10" s="2" t="str">
        <v/>
      </c>
      <c r="P10" s="10"/>
    </row>
    <row r="11" spans="1:16" x14ac:dyDescent="0.3">
      <c r="B11" s="9"/>
      <c r="C11" s="2" t="str">
        <v>...</v>
      </c>
      <c r="D11" s="2" t="str">
        <v>...</v>
      </c>
      <c r="E11" s="2" t="str">
        <v>...</v>
      </c>
      <c r="F11" s="2" t="str">
        <v>...</v>
      </c>
      <c r="G11" s="2" t="str">
        <v>...</v>
      </c>
      <c r="H11" s="2" t="str">
        <v>...</v>
      </c>
      <c r="I11" s="2" t="str">
        <v>...</v>
      </c>
      <c r="J11" s="2" t="str">
        <v>...</v>
      </c>
      <c r="K11" s="2" t="str">
        <v>...</v>
      </c>
      <c r="L11" s="2" t="str">
        <v>...</v>
      </c>
      <c r="M11" s="2" t="str">
        <v>...</v>
      </c>
      <c r="P11" s="10"/>
    </row>
    <row r="12" spans="1:16" x14ac:dyDescent="0.3">
      <c r="B12" s="9"/>
      <c r="C12" s="2">
        <v>19</v>
      </c>
      <c r="D12" s="2">
        <v>19</v>
      </c>
      <c r="E12" s="2" t="str">
        <v/>
      </c>
      <c r="F12" s="2" t="str">
        <v/>
      </c>
      <c r="G12" s="2" t="str">
        <v/>
      </c>
      <c r="H12" s="2" t="str">
        <v>...</v>
      </c>
      <c r="I12" s="2" t="str">
        <v>Belmont, Burlingame</v>
      </c>
      <c r="J12" s="2" t="str">
        <v>active</v>
      </c>
      <c r="K12" s="2" t="str">
        <v>Varies.</v>
      </c>
      <c r="L12" s="2" t="str">
        <v/>
      </c>
      <c r="M12" s="2" t="str">
        <v/>
      </c>
      <c r="P12" s="10"/>
    </row>
    <row r="13" spans="1:16" x14ac:dyDescent="0.3">
      <c r="B13" s="9"/>
      <c r="C13" s="2">
        <v>20</v>
      </c>
      <c r="D13" s="2">
        <v>20</v>
      </c>
      <c r="E13" s="2" t="str">
        <v/>
      </c>
      <c r="F13" s="2" t="str">
        <v/>
      </c>
      <c r="G13" s="2" t="str">
        <v/>
      </c>
      <c r="H13" s="2" t="str">
        <v>...</v>
      </c>
      <c r="I13" s="2" t="str">
        <v/>
      </c>
      <c r="J13" s="2" t="str">
        <v>defunct</v>
      </c>
      <c r="K13" s="2" t="str">
        <v/>
      </c>
      <c r="L13" s="2" t="str">
        <v/>
      </c>
      <c r="M13" s="2" t="str">
        <v/>
      </c>
      <c r="P13" s="10"/>
    </row>
    <row r="14" spans="1:16" x14ac:dyDescent="0.3">
      <c r="B14" s="9"/>
      <c r="C14" s="2">
        <v>21</v>
      </c>
      <c r="D14" s="2">
        <v>21</v>
      </c>
      <c r="E14" s="2" t="str">
        <v/>
      </c>
      <c r="F14" s="2" t="str">
        <v/>
      </c>
      <c r="G14" s="2" t="str">
        <v/>
      </c>
      <c r="H14" s="2" t="str">
        <v>...</v>
      </c>
      <c r="I14" s="2" t="str">
        <v>San Mateo County</v>
      </c>
      <c r="J14" s="2" t="str">
        <v>inactive</v>
      </c>
      <c r="K14" s="2" t="str">
        <v/>
      </c>
      <c r="L14" s="2" t="str">
        <v/>
      </c>
      <c r="M14" s="2" t="str">
        <v/>
      </c>
      <c r="P14" s="10"/>
    </row>
    <row r="15" spans="1:16" x14ac:dyDescent="0.3">
      <c r="B15" s="9"/>
      <c r="C15" s="2">
        <v>22</v>
      </c>
      <c r="D15" s="2">
        <v>22</v>
      </c>
      <c r="E15" s="2" t="str">
        <v/>
      </c>
      <c r="F15" s="2" t="str">
        <v>Cash, Check, Credit Card</v>
      </c>
      <c r="G15" s="2" t="str">
        <v>Fotos para pasaportes</v>
      </c>
      <c r="H15" s="2" t="str">
        <v>...</v>
      </c>
      <c r="I15" s="2" t="str">
        <v>Alameda County, San Mateo County</v>
      </c>
      <c r="J15" s="2" t="str">
        <v>active</v>
      </c>
      <c r="K15" s="2" t="str">
        <v>No wait to 2 weeks.</v>
      </c>
      <c r="L15" s="2" t="str">
        <v>http://www.example.com</v>
      </c>
      <c r="M15" s="2" t="str">
        <v>105, 108, 108-05, 108-05-01, 111, 111-05</v>
      </c>
      <c r="P15" s="10"/>
    </row>
    <row r="16" spans="1:16" ht="15" thickBot="1" x14ac:dyDescent="0.35">
      <c r="B16" s="11"/>
      <c r="C16" s="12">
        <v>23</v>
      </c>
      <c r="D16" s="12">
        <v>22</v>
      </c>
      <c r="E16" s="12" t="str">
        <v/>
      </c>
      <c r="F16" s="12" t="str">
        <v/>
      </c>
      <c r="G16" s="12" t="str">
        <v/>
      </c>
      <c r="H16" s="12" t="str">
        <v>...</v>
      </c>
      <c r="I16" s="12" t="str">
        <v>San Mateo County, Alameda County</v>
      </c>
      <c r="J16" s="12" t="str">
        <v>active</v>
      </c>
      <c r="K16" s="12" t="str">
        <v>No wait to 2 weeks</v>
      </c>
      <c r="L16" s="12" t="str">
        <v>http://www.example.com</v>
      </c>
      <c r="M16" s="12" t="str">
        <v/>
      </c>
      <c r="N16" s="12"/>
      <c r="O16" s="12"/>
      <c r="P16" s="13"/>
    </row>
    <row r="17" spans="2:16" ht="15" thickBot="1" x14ac:dyDescent="0.35"/>
    <row r="18" spans="2:16" x14ac:dyDescent="0.3">
      <c r="B18" s="5" t="s">
        <v>191</v>
      </c>
      <c r="C18" s="7"/>
      <c r="D18" s="7"/>
      <c r="E18" s="7"/>
      <c r="F18" s="7"/>
      <c r="G18" s="7"/>
      <c r="H18" s="7"/>
      <c r="I18" s="7"/>
      <c r="J18" s="7"/>
      <c r="K18" s="7"/>
      <c r="L18" s="7"/>
      <c r="M18" s="7"/>
      <c r="N18" s="7"/>
      <c r="O18" s="7"/>
      <c r="P18" s="8"/>
    </row>
    <row r="19" spans="2:16" x14ac:dyDescent="0.3">
      <c r="B19" s="9" t="e" cm="1" vm="2">
        <f t="array" ref="B19">_xlfn._xlws.PY(1,1)</f>
        <v>#VALUE!</v>
      </c>
      <c r="C19" s="2" t="str" cm="1">
        <f t="array" ref="C19:M24">_FV(B19,"arrayPreview")</f>
        <v>id</v>
      </c>
      <c r="D19" s="2" t="str">
        <v>location_id</v>
      </c>
      <c r="E19" s="2" t="str">
        <v>program_id</v>
      </c>
      <c r="F19" s="2" t="str">
        <v>accepted_payments</v>
      </c>
      <c r="G19" s="2" t="str">
        <v>alternate_name</v>
      </c>
      <c r="H19" s="2" t="str">
        <v>...</v>
      </c>
      <c r="I19" s="2" t="str">
        <v>service_areas</v>
      </c>
      <c r="J19" s="2" t="str">
        <v>status</v>
      </c>
      <c r="K19" s="2" t="str">
        <v>wait_time</v>
      </c>
      <c r="L19" s="2" t="str">
        <v>website</v>
      </c>
      <c r="M19" s="2" t="str">
        <v>taxonomy_ids</v>
      </c>
      <c r="P19" s="10"/>
    </row>
    <row r="20" spans="2:16" x14ac:dyDescent="0.3">
      <c r="B20" s="9"/>
      <c r="C20" s="2">
        <v>1</v>
      </c>
      <c r="D20" s="2">
        <v>1</v>
      </c>
      <c r="E20" s="2" t="str">
        <v/>
      </c>
      <c r="F20" s="2" t="str">
        <v/>
      </c>
      <c r="G20" s="2" t="str">
        <v/>
      </c>
      <c r="H20" s="2" t="str">
        <v>...</v>
      </c>
      <c r="I20" s="2" t="str">
        <v>Colma</v>
      </c>
      <c r="J20" s="2" t="str">
        <v>active</v>
      </c>
      <c r="K20" s="2" t="str">
        <v>No wait.</v>
      </c>
      <c r="L20" s="2" t="str">
        <v/>
      </c>
      <c r="M20" s="2" t="str">
        <v/>
      </c>
      <c r="P20" s="10"/>
    </row>
    <row r="21" spans="2:16" x14ac:dyDescent="0.3">
      <c r="B21" s="9"/>
      <c r="C21" s="2">
        <v>2</v>
      </c>
      <c r="D21" s="2">
        <v>2</v>
      </c>
      <c r="E21" s="2" t="str">
        <v/>
      </c>
      <c r="F21" s="2" t="str">
        <v/>
      </c>
      <c r="G21" s="2" t="str">
        <v/>
      </c>
      <c r="H21" s="2" t="str">
        <v>...</v>
      </c>
      <c r="I21" s="2" t="str">
        <v>San Mateo County</v>
      </c>
      <c r="J21" s="2" t="str">
        <v>active</v>
      </c>
      <c r="K21" s="2" t="str">
        <v>Varies.</v>
      </c>
      <c r="L21" s="2" t="str">
        <v/>
      </c>
      <c r="M21" s="2" t="str">
        <v/>
      </c>
      <c r="P21" s="10"/>
    </row>
    <row r="22" spans="2:16" x14ac:dyDescent="0.3">
      <c r="B22" s="9"/>
      <c r="C22" s="2">
        <v>3</v>
      </c>
      <c r="D22" s="2">
        <v>3</v>
      </c>
      <c r="E22" s="2" t="str">
        <v/>
      </c>
      <c r="F22" s="2" t="str">
        <v/>
      </c>
      <c r="G22" s="2" t="str">
        <v/>
      </c>
      <c r="H22" s="2" t="str">
        <v>...</v>
      </c>
      <c r="I22" s="2" t="str">
        <v>San Mateo County</v>
      </c>
      <c r="J22" s="2" t="str">
        <v>active</v>
      </c>
      <c r="K22" s="2" t="str">
        <v>Varies.</v>
      </c>
      <c r="L22" s="2" t="str">
        <v/>
      </c>
      <c r="M22" s="2" t="str">
        <v/>
      </c>
      <c r="P22" s="10"/>
    </row>
    <row r="23" spans="2:16" x14ac:dyDescent="0.3">
      <c r="B23" s="9"/>
      <c r="C23" s="2">
        <v>4</v>
      </c>
      <c r="D23" s="2">
        <v>4</v>
      </c>
      <c r="E23" s="2" t="str">
        <v/>
      </c>
      <c r="F23" s="2" t="str">
        <v/>
      </c>
      <c r="G23" s="2" t="str">
        <v/>
      </c>
      <c r="H23" s="2" t="str">
        <v>...</v>
      </c>
      <c r="I23" s="2" t="str">
        <v>San Mateo County</v>
      </c>
      <c r="J23" s="2" t="str">
        <v>active</v>
      </c>
      <c r="K23" s="2" t="str">
        <v>No wait.</v>
      </c>
      <c r="L23" s="2" t="str">
        <v/>
      </c>
      <c r="M23" s="2" t="str">
        <v/>
      </c>
      <c r="P23" s="10"/>
    </row>
    <row r="24" spans="2:16" ht="15" thickBot="1" x14ac:dyDescent="0.35">
      <c r="B24" s="11"/>
      <c r="C24" s="12">
        <v>5</v>
      </c>
      <c r="D24" s="12">
        <v>5</v>
      </c>
      <c r="E24" s="12" t="str">
        <v/>
      </c>
      <c r="F24" s="12" t="str">
        <v/>
      </c>
      <c r="G24" s="12" t="str">
        <v/>
      </c>
      <c r="H24" s="12" t="str">
        <v>...</v>
      </c>
      <c r="I24" s="12" t="str">
        <v>San Mateo County</v>
      </c>
      <c r="J24" s="12" t="str">
        <v>active</v>
      </c>
      <c r="K24" s="12" t="str">
        <v/>
      </c>
      <c r="L24" s="12" t="str">
        <v/>
      </c>
      <c r="M24" s="12" t="str">
        <v/>
      </c>
      <c r="N24" s="12"/>
      <c r="O24" s="12"/>
      <c r="P24" s="13"/>
    </row>
    <row r="25" spans="2:16" ht="15" thickBot="1" x14ac:dyDescent="0.35"/>
    <row r="26" spans="2:16" x14ac:dyDescent="0.3">
      <c r="B26" s="5" t="s">
        <v>192</v>
      </c>
      <c r="C26" s="7"/>
      <c r="D26" s="7"/>
      <c r="E26" s="7"/>
      <c r="F26" s="7"/>
      <c r="G26" s="7"/>
      <c r="H26" s="7"/>
      <c r="I26" s="7"/>
      <c r="J26" s="7"/>
      <c r="K26" s="7"/>
      <c r="L26" s="7"/>
      <c r="M26" s="7"/>
      <c r="N26" s="7"/>
      <c r="O26" s="7"/>
      <c r="P26" s="8"/>
    </row>
    <row r="27" spans="2:16" x14ac:dyDescent="0.3">
      <c r="B27" s="9" t="e" cm="1" vm="3">
        <f t="array" ref="B27">_xlfn._xlws.PY(2,1)</f>
        <v>#VALUE!</v>
      </c>
      <c r="C27" s="2" t="str" cm="1">
        <f t="array" ref="C27:M32">_FV(B27,"arrayPreview")</f>
        <v>id</v>
      </c>
      <c r="D27" s="2" t="str">
        <v>location_id</v>
      </c>
      <c r="E27" s="2" t="str">
        <v>program_id</v>
      </c>
      <c r="F27" s="2" t="str">
        <v>accepted_payments</v>
      </c>
      <c r="G27" s="2" t="str">
        <v>alternate_name</v>
      </c>
      <c r="H27" s="2" t="str">
        <v>...</v>
      </c>
      <c r="I27" s="2" t="str">
        <v>service_areas</v>
      </c>
      <c r="J27" s="2" t="str">
        <v>status</v>
      </c>
      <c r="K27" s="2" t="str">
        <v>wait_time</v>
      </c>
      <c r="L27" s="2" t="str">
        <v>website</v>
      </c>
      <c r="M27" s="2" t="str">
        <v>taxonomy_ids</v>
      </c>
      <c r="P27" s="10"/>
    </row>
    <row r="28" spans="2:16" x14ac:dyDescent="0.3">
      <c r="B28" s="9"/>
      <c r="C28" s="2">
        <v>19</v>
      </c>
      <c r="D28" s="2">
        <v>19</v>
      </c>
      <c r="E28" s="2" t="str">
        <v/>
      </c>
      <c r="F28" s="2" t="str">
        <v/>
      </c>
      <c r="G28" s="2" t="str">
        <v/>
      </c>
      <c r="H28" s="2" t="str">
        <v>...</v>
      </c>
      <c r="I28" s="2" t="str">
        <v>Belmont, Burlingame</v>
      </c>
      <c r="J28" s="2" t="str">
        <v>active</v>
      </c>
      <c r="K28" s="2" t="str">
        <v>Varies.</v>
      </c>
      <c r="L28" s="2" t="str">
        <v/>
      </c>
      <c r="M28" s="2" t="str">
        <v/>
      </c>
      <c r="P28" s="10"/>
    </row>
    <row r="29" spans="2:16" x14ac:dyDescent="0.3">
      <c r="B29" s="9"/>
      <c r="C29" s="2">
        <v>20</v>
      </c>
      <c r="D29" s="2">
        <v>20</v>
      </c>
      <c r="E29" s="2" t="str">
        <v/>
      </c>
      <c r="F29" s="2" t="str">
        <v/>
      </c>
      <c r="G29" s="2" t="str">
        <v/>
      </c>
      <c r="H29" s="2" t="str">
        <v>...</v>
      </c>
      <c r="I29" s="2" t="str">
        <v/>
      </c>
      <c r="J29" s="2" t="str">
        <v>defunct</v>
      </c>
      <c r="K29" s="2" t="str">
        <v/>
      </c>
      <c r="L29" s="2" t="str">
        <v/>
      </c>
      <c r="M29" s="2" t="str">
        <v/>
      </c>
      <c r="P29" s="10"/>
    </row>
    <row r="30" spans="2:16" x14ac:dyDescent="0.3">
      <c r="B30" s="9"/>
      <c r="C30" s="2">
        <v>21</v>
      </c>
      <c r="D30" s="2">
        <v>21</v>
      </c>
      <c r="E30" s="2" t="str">
        <v/>
      </c>
      <c r="F30" s="2" t="str">
        <v/>
      </c>
      <c r="G30" s="2" t="str">
        <v/>
      </c>
      <c r="H30" s="2" t="str">
        <v>...</v>
      </c>
      <c r="I30" s="2" t="str">
        <v>San Mateo County</v>
      </c>
      <c r="J30" s="2" t="str">
        <v>inactive</v>
      </c>
      <c r="K30" s="2" t="str">
        <v/>
      </c>
      <c r="L30" s="2" t="str">
        <v/>
      </c>
      <c r="M30" s="2" t="str">
        <v/>
      </c>
      <c r="P30" s="10"/>
    </row>
    <row r="31" spans="2:16" x14ac:dyDescent="0.3">
      <c r="B31" s="9"/>
      <c r="C31" s="2">
        <v>22</v>
      </c>
      <c r="D31" s="2">
        <v>22</v>
      </c>
      <c r="E31" s="2" t="str">
        <v/>
      </c>
      <c r="F31" s="2" t="str">
        <v>Cash, Check, Credit Card</v>
      </c>
      <c r="G31" s="2" t="str">
        <v>Fotos para pasaportes</v>
      </c>
      <c r="H31" s="2" t="str">
        <v>...</v>
      </c>
      <c r="I31" s="2" t="str">
        <v>Alameda County, San Mateo County</v>
      </c>
      <c r="J31" s="2" t="str">
        <v>active</v>
      </c>
      <c r="K31" s="2" t="str">
        <v>No wait to 2 weeks.</v>
      </c>
      <c r="L31" s="2" t="str">
        <v>http://www.example.com</v>
      </c>
      <c r="M31" s="2" t="str">
        <v>105, 108, 108-05, 108-05-01, 111, 111-05</v>
      </c>
      <c r="P31" s="10"/>
    </row>
    <row r="32" spans="2:16" ht="15" thickBot="1" x14ac:dyDescent="0.35">
      <c r="B32" s="11"/>
      <c r="C32" s="12">
        <v>23</v>
      </c>
      <c r="D32" s="12">
        <v>22</v>
      </c>
      <c r="E32" s="12" t="str">
        <v/>
      </c>
      <c r="F32" s="12" t="str">
        <v/>
      </c>
      <c r="G32" s="12" t="str">
        <v/>
      </c>
      <c r="H32" s="12" t="str">
        <v>...</v>
      </c>
      <c r="I32" s="12" t="str">
        <v>San Mateo County, Alameda County</v>
      </c>
      <c r="J32" s="12" t="str">
        <v>active</v>
      </c>
      <c r="K32" s="12" t="str">
        <v>No wait to 2 weeks</v>
      </c>
      <c r="L32" s="12" t="str">
        <v>http://www.example.com</v>
      </c>
      <c r="M32" s="12" t="str">
        <v/>
      </c>
      <c r="N32" s="12"/>
      <c r="O32" s="12"/>
      <c r="P32" s="13"/>
    </row>
    <row r="33" spans="2:16" ht="15" thickBot="1" x14ac:dyDescent="0.35"/>
    <row r="34" spans="2:16" ht="15" thickBot="1" x14ac:dyDescent="0.35">
      <c r="B34" s="14" t="e" cm="1" vm="4">
        <f t="array" ref="B34">_xlfn._xlws.PY(3,1)</f>
        <v>#VALUE!</v>
      </c>
      <c r="C34" s="15" t="str" cm="1">
        <f t="array" ref="C34">_xlfn._DF_Python_str(B34)</f>
        <v>&lt;class 'pandas.core.frame.DataFrame'&gt;</v>
      </c>
      <c r="D34" s="15"/>
      <c r="E34" s="15"/>
      <c r="F34" s="15"/>
      <c r="G34" s="15"/>
      <c r="H34" s="15"/>
      <c r="I34" s="15"/>
      <c r="J34" s="15"/>
      <c r="K34" s="15"/>
      <c r="L34" s="15"/>
      <c r="M34" s="15"/>
      <c r="N34" s="15"/>
      <c r="O34" s="15"/>
      <c r="P34" s="16"/>
    </row>
    <row r="35" spans="2:16" ht="15" thickBot="1" x14ac:dyDescent="0.35"/>
    <row r="36" spans="2:16" x14ac:dyDescent="0.3">
      <c r="B36" s="17" t="e" cm="1" vm="5">
        <f t="array" ref="B36">_xlfn._xlws.PY(4,1)</f>
        <v>#VALUE!</v>
      </c>
      <c r="C36" s="7" t="str" cm="1">
        <f t="array" ref="C36:C46">_FV(B36,"arrayPreview")</f>
        <v>id</v>
      </c>
      <c r="D36" s="7"/>
      <c r="E36" s="7"/>
      <c r="F36" s="7"/>
      <c r="G36" s="7"/>
      <c r="H36" s="7"/>
      <c r="I36" s="7"/>
      <c r="J36" s="7"/>
      <c r="K36" s="7"/>
      <c r="L36" s="7"/>
      <c r="M36" s="7"/>
      <c r="N36" s="7"/>
      <c r="O36" s="7"/>
      <c r="P36" s="8"/>
    </row>
    <row r="37" spans="2:16" x14ac:dyDescent="0.3">
      <c r="B37" s="9"/>
      <c r="C37" s="2" t="str">
        <v>location_id</v>
      </c>
      <c r="P37" s="10"/>
    </row>
    <row r="38" spans="2:16" x14ac:dyDescent="0.3">
      <c r="B38" s="9"/>
      <c r="C38" s="2" t="str">
        <v>program_id</v>
      </c>
      <c r="P38" s="10"/>
    </row>
    <row r="39" spans="2:16" x14ac:dyDescent="0.3">
      <c r="B39" s="9"/>
      <c r="C39" s="2" t="str">
        <v>accepted_payments</v>
      </c>
      <c r="P39" s="10"/>
    </row>
    <row r="40" spans="2:16" x14ac:dyDescent="0.3">
      <c r="B40" s="9"/>
      <c r="C40" s="2" t="str">
        <v>alternate_name</v>
      </c>
      <c r="P40" s="10"/>
    </row>
    <row r="41" spans="2:16" x14ac:dyDescent="0.3">
      <c r="B41" s="9"/>
      <c r="C41" s="2" t="str">
        <v>...</v>
      </c>
      <c r="P41" s="10"/>
    </row>
    <row r="42" spans="2:16" x14ac:dyDescent="0.3">
      <c r="B42" s="9"/>
      <c r="C42" s="2" t="str">
        <v>service_areas</v>
      </c>
      <c r="P42" s="10"/>
    </row>
    <row r="43" spans="2:16" x14ac:dyDescent="0.3">
      <c r="B43" s="9"/>
      <c r="C43" s="2" t="str">
        <v>status</v>
      </c>
      <c r="P43" s="10"/>
    </row>
    <row r="44" spans="2:16" x14ac:dyDescent="0.3">
      <c r="B44" s="9"/>
      <c r="C44" s="2" t="str">
        <v>wait_time</v>
      </c>
      <c r="P44" s="10"/>
    </row>
    <row r="45" spans="2:16" x14ac:dyDescent="0.3">
      <c r="B45" s="9"/>
      <c r="C45" s="2" t="str">
        <v>website</v>
      </c>
      <c r="P45" s="10"/>
    </row>
    <row r="46" spans="2:16" ht="15" thickBot="1" x14ac:dyDescent="0.35">
      <c r="B46" s="11"/>
      <c r="C46" s="12" t="str">
        <v>taxonomy_ids</v>
      </c>
      <c r="D46" s="12"/>
      <c r="E46" s="12"/>
      <c r="F46" s="12"/>
      <c r="G46" s="12"/>
      <c r="H46" s="12"/>
      <c r="I46" s="12"/>
      <c r="J46" s="12"/>
      <c r="K46" s="12"/>
      <c r="L46" s="12"/>
      <c r="M46" s="12"/>
      <c r="N46" s="12"/>
      <c r="O46" s="12"/>
      <c r="P46" s="13"/>
    </row>
    <row r="47" spans="2:16" ht="15" thickBot="1" x14ac:dyDescent="0.35"/>
    <row r="48" spans="2:16" x14ac:dyDescent="0.3">
      <c r="B48" s="17" t="e" cm="1" vm="6">
        <f t="array" ref="B48">_xlfn._xlws.PY(5,1)</f>
        <v>#VALUE!</v>
      </c>
      <c r="C48" s="7" t="str" cm="1">
        <f t="array" ref="C48:C59">_FV(B48,"arrayPreview")</f>
        <v>status</v>
      </c>
      <c r="D48" s="7"/>
      <c r="E48" s="7"/>
      <c r="F48" s="7"/>
      <c r="G48" s="7"/>
      <c r="H48" s="7"/>
      <c r="I48" s="7"/>
      <c r="J48" s="7"/>
      <c r="K48" s="7"/>
      <c r="L48" s="7"/>
      <c r="M48" s="7"/>
      <c r="N48" s="7"/>
      <c r="O48" s="7"/>
      <c r="P48" s="8"/>
    </row>
    <row r="49" spans="2:16" x14ac:dyDescent="0.3">
      <c r="B49" s="9"/>
      <c r="C49" s="2" t="str">
        <v>active</v>
      </c>
      <c r="P49" s="10"/>
    </row>
    <row r="50" spans="2:16" x14ac:dyDescent="0.3">
      <c r="B50" s="9"/>
      <c r="C50" s="2" t="str">
        <v>active</v>
      </c>
      <c r="P50" s="10"/>
    </row>
    <row r="51" spans="2:16" x14ac:dyDescent="0.3">
      <c r="B51" s="9"/>
      <c r="C51" s="2" t="str">
        <v>active</v>
      </c>
      <c r="P51" s="10"/>
    </row>
    <row r="52" spans="2:16" x14ac:dyDescent="0.3">
      <c r="B52" s="9"/>
      <c r="C52" s="2" t="str">
        <v>active</v>
      </c>
      <c r="P52" s="10"/>
    </row>
    <row r="53" spans="2:16" x14ac:dyDescent="0.3">
      <c r="B53" s="9"/>
      <c r="C53" s="2" t="str">
        <v>active</v>
      </c>
      <c r="P53" s="10"/>
    </row>
    <row r="54" spans="2:16" x14ac:dyDescent="0.3">
      <c r="B54" s="9"/>
      <c r="C54" s="2" t="str">
        <v>...</v>
      </c>
      <c r="P54" s="10"/>
    </row>
    <row r="55" spans="2:16" x14ac:dyDescent="0.3">
      <c r="B55" s="9"/>
      <c r="C55" s="2" t="str">
        <v>active</v>
      </c>
      <c r="P55" s="10"/>
    </row>
    <row r="56" spans="2:16" x14ac:dyDescent="0.3">
      <c r="B56" s="9"/>
      <c r="C56" s="2" t="str">
        <v>defunct</v>
      </c>
      <c r="P56" s="10"/>
    </row>
    <row r="57" spans="2:16" x14ac:dyDescent="0.3">
      <c r="B57" s="9"/>
      <c r="C57" s="2" t="str">
        <v>inactive</v>
      </c>
      <c r="P57" s="10"/>
    </row>
    <row r="58" spans="2:16" x14ac:dyDescent="0.3">
      <c r="B58" s="9"/>
      <c r="C58" s="2" t="str">
        <v>active</v>
      </c>
      <c r="P58" s="10"/>
    </row>
    <row r="59" spans="2:16" ht="15" thickBot="1" x14ac:dyDescent="0.35">
      <c r="B59" s="11"/>
      <c r="C59" s="12" t="str">
        <v>active</v>
      </c>
      <c r="D59" s="12"/>
      <c r="E59" s="12"/>
      <c r="F59" s="12"/>
      <c r="G59" s="12"/>
      <c r="H59" s="12"/>
      <c r="I59" s="12"/>
      <c r="J59" s="12"/>
      <c r="K59" s="12"/>
      <c r="L59" s="12"/>
      <c r="M59" s="12"/>
      <c r="N59" s="12"/>
      <c r="O59" s="12"/>
      <c r="P59" s="13"/>
    </row>
    <row r="60" spans="2:16" ht="15" thickBot="1" x14ac:dyDescent="0.35"/>
    <row r="61" spans="2:16" ht="15" thickBot="1" x14ac:dyDescent="0.35">
      <c r="B61" s="14" t="e" cm="1" vm="7">
        <f t="array" ref="B61">_xlfn._xlws.PY(6,1)</f>
        <v>#VALUE!</v>
      </c>
      <c r="C61" s="15" t="str" cm="1">
        <f t="array" ref="C61">_xlfn._DF_Python_str(B61)</f>
        <v>&lt;class 'pandas.core.series.Series'&gt;</v>
      </c>
      <c r="D61" s="15"/>
      <c r="E61" s="15"/>
      <c r="F61" s="15"/>
      <c r="G61" s="15"/>
      <c r="H61" s="15"/>
      <c r="I61" s="15"/>
      <c r="J61" s="15"/>
      <c r="K61" s="15"/>
      <c r="L61" s="15"/>
      <c r="M61" s="15"/>
      <c r="N61" s="15"/>
      <c r="O61" s="15"/>
      <c r="P61" s="16"/>
    </row>
    <row r="62" spans="2:16" ht="15" thickBot="1" x14ac:dyDescent="0.35"/>
    <row r="63" spans="2:16" x14ac:dyDescent="0.3">
      <c r="B63" s="17" t="e" cm="1" vm="8">
        <f t="array" ref="B63">_xlfn._xlws.PY(7,1)</f>
        <v>#VALUE!</v>
      </c>
      <c r="C63" s="7" t="str" cm="1">
        <f t="array" ref="C63:C73">_FV(B63,"arrayPreview")</f>
        <v>active</v>
      </c>
      <c r="D63" s="7" t="str" cm="1">
        <f t="array" ref="D63">_xlfn._DF_Python_typeName(B63)</f>
        <v>list</v>
      </c>
      <c r="E63" s="7" t="str" cm="1">
        <f t="array" ref="E63">_xlfn._DF_Python_type(B63)</f>
        <v>&lt;class 'list'&gt;</v>
      </c>
      <c r="F63" s="7" t="str" cm="1">
        <f t="array" ref="F63">_xlfn._DF_Python_str(B63)</f>
        <v>['active', 'active', 'active', 'active', 'active', 'active', 'active', 'active', 'active', 'active', 'active', 'active', 'active', 'active', 'active', 'active', 'active', 'active', 'active', 'defunct', 'inactive', 'active', 'active']</v>
      </c>
      <c r="G63" s="7"/>
      <c r="H63" s="7"/>
      <c r="I63" s="7"/>
      <c r="J63" s="7"/>
      <c r="K63" s="7"/>
      <c r="L63" s="7"/>
      <c r="M63" s="7"/>
      <c r="N63" s="7"/>
      <c r="O63" s="7"/>
      <c r="P63" s="8"/>
    </row>
    <row r="64" spans="2:16" x14ac:dyDescent="0.3">
      <c r="B64" s="9"/>
      <c r="C64" s="2" t="str">
        <v>active</v>
      </c>
      <c r="P64" s="10"/>
    </row>
    <row r="65" spans="2:16" x14ac:dyDescent="0.3">
      <c r="B65" s="9"/>
      <c r="C65" s="2" t="str">
        <v>active</v>
      </c>
      <c r="P65" s="10"/>
    </row>
    <row r="66" spans="2:16" x14ac:dyDescent="0.3">
      <c r="B66" s="9"/>
      <c r="C66" s="2" t="str">
        <v>active</v>
      </c>
      <c r="P66" s="10"/>
    </row>
    <row r="67" spans="2:16" x14ac:dyDescent="0.3">
      <c r="B67" s="9"/>
      <c r="C67" s="2" t="str">
        <v>active</v>
      </c>
      <c r="P67" s="10"/>
    </row>
    <row r="68" spans="2:16" x14ac:dyDescent="0.3">
      <c r="B68" s="9"/>
      <c r="C68" s="2" t="str">
        <v>...</v>
      </c>
      <c r="P68" s="10"/>
    </row>
    <row r="69" spans="2:16" x14ac:dyDescent="0.3">
      <c r="B69" s="9"/>
      <c r="C69" s="2" t="str">
        <v>active</v>
      </c>
      <c r="P69" s="10"/>
    </row>
    <row r="70" spans="2:16" x14ac:dyDescent="0.3">
      <c r="B70" s="9"/>
      <c r="C70" s="2" t="str">
        <v>defunct</v>
      </c>
      <c r="P70" s="10"/>
    </row>
    <row r="71" spans="2:16" x14ac:dyDescent="0.3">
      <c r="B71" s="9"/>
      <c r="C71" s="2" t="str">
        <v>inactive</v>
      </c>
      <c r="P71" s="10"/>
    </row>
    <row r="72" spans="2:16" x14ac:dyDescent="0.3">
      <c r="B72" s="9"/>
      <c r="C72" s="2" t="str">
        <v>active</v>
      </c>
      <c r="P72" s="10"/>
    </row>
    <row r="73" spans="2:16" ht="15" thickBot="1" x14ac:dyDescent="0.35">
      <c r="B73" s="11"/>
      <c r="C73" s="12" t="str">
        <v>active</v>
      </c>
      <c r="D73" s="12"/>
      <c r="E73" s="12"/>
      <c r="F73" s="12"/>
      <c r="G73" s="12"/>
      <c r="H73" s="12"/>
      <c r="I73" s="12"/>
      <c r="J73" s="12"/>
      <c r="K73" s="12"/>
      <c r="L73" s="12"/>
      <c r="M73" s="12"/>
      <c r="N73" s="12"/>
      <c r="O73" s="12"/>
      <c r="P73" s="13"/>
    </row>
    <row r="74" spans="2:16" ht="15" thickBot="1" x14ac:dyDescent="0.35"/>
    <row r="75" spans="2:16" ht="15" thickBot="1" x14ac:dyDescent="0.35">
      <c r="B75" s="14" t="e" cm="1" vm="9">
        <f t="array" ref="B75">_xlfn._xlws.PY(8,1)</f>
        <v>#VALUE!</v>
      </c>
      <c r="C75" s="15" t="str" cm="1">
        <f t="array" ref="C75">_xlfn._DF_Python_str(B75)</f>
        <v>list[['status']]</v>
      </c>
      <c r="D75" s="15" t="str" cm="1">
        <f t="array" ref="D75">_xlfn._DF_Python_type(B75)</f>
        <v>&lt;class 'types.GenericAlias'&gt;</v>
      </c>
      <c r="E75" s="15" t="str" cm="1">
        <f t="array" ref="E75">_xlfn._DF_Python_typeName(B75)</f>
        <v>GenericAlias</v>
      </c>
      <c r="F75" s="15"/>
      <c r="G75" s="15"/>
      <c r="H75" s="15"/>
      <c r="I75" s="15"/>
      <c r="J75" s="15"/>
      <c r="K75" s="15"/>
      <c r="L75" s="15"/>
      <c r="M75" s="15"/>
      <c r="N75" s="15"/>
      <c r="O75" s="15"/>
      <c r="P75" s="16"/>
    </row>
    <row r="76" spans="2:16" ht="15" thickBot="1" x14ac:dyDescent="0.35"/>
    <row r="77" spans="2:16" ht="15" thickBot="1" x14ac:dyDescent="0.35">
      <c r="B77" s="14" t="e" cm="1" vm="4">
        <f t="array" ref="B77">_xlfn._xlws.PY(9,1)</f>
        <v>#VALUE!</v>
      </c>
      <c r="C77" s="15" t="str" cm="1">
        <f t="array" ref="C77">_xlfn._DF_Python_str(B77)</f>
        <v>&lt;class 'pandas.core.frame.DataFrame'&gt;</v>
      </c>
      <c r="D77" s="15"/>
      <c r="E77" s="15"/>
      <c r="F77" s="15"/>
      <c r="G77" s="15"/>
      <c r="H77" s="15"/>
      <c r="I77" s="15"/>
      <c r="J77" s="15"/>
      <c r="K77" s="15"/>
      <c r="L77" s="15"/>
      <c r="M77" s="15"/>
      <c r="N77" s="15"/>
      <c r="O77" s="15"/>
      <c r="P77" s="16"/>
    </row>
    <row r="78" spans="2:16" ht="15" thickBot="1" x14ac:dyDescent="0.35"/>
    <row r="79" spans="2:16" ht="15" thickBot="1" x14ac:dyDescent="0.35">
      <c r="B79" s="14" t="e" cm="1" vm="10">
        <f t="array" ref="B79">_xlfn._xlws.PY(10,1)</f>
        <v>#VALUE!</v>
      </c>
      <c r="C79" s="15" t="str" cm="1">
        <f t="array" ref="C79">_xlfn._DF_Python_str(B79)</f>
        <v>Index(['id', 'location_id', 'program_id', 'accepted_payments',
       'alternate_name', 'application_process', 'audience', 'description',
       'eligibility', 'email', 'fees', 'funding_sources',
       'interpretation_services', 'keywords', 'languages...</v>
      </c>
      <c r="D79" s="15"/>
      <c r="E79" s="15"/>
      <c r="F79" s="15"/>
      <c r="G79" s="15"/>
      <c r="H79" s="15"/>
      <c r="I79" s="15"/>
      <c r="J79" s="15"/>
      <c r="K79" s="15"/>
      <c r="L79" s="15"/>
      <c r="M79" s="15"/>
      <c r="N79" s="15"/>
      <c r="O79" s="15"/>
      <c r="P79" s="16"/>
    </row>
    <row r="80" spans="2:16" ht="15" thickBot="1" x14ac:dyDescent="0.35"/>
    <row r="81" spans="2:16" x14ac:dyDescent="0.3">
      <c r="B81" s="17" t="e" cm="1" vm="11">
        <f t="array" ref="B81">_xlfn._xlws.PY(11,1)</f>
        <v>#VALUE!</v>
      </c>
      <c r="C81" s="7" t="str" cm="1">
        <f t="array" ref="C81:E92">_FV(B81,"arrayPreview")</f>
        <v>email</v>
      </c>
      <c r="D81" s="7" t="str">
        <v>keywords</v>
      </c>
      <c r="E81" s="7" t="str">
        <v>name</v>
      </c>
      <c r="F81" s="7"/>
      <c r="G81" s="7"/>
      <c r="H81" s="7"/>
      <c r="I81" s="7"/>
      <c r="J81" s="7"/>
      <c r="K81" s="7"/>
      <c r="L81" s="7"/>
      <c r="M81" s="7"/>
      <c r="N81" s="7"/>
      <c r="O81" s="7"/>
      <c r="P81" s="8"/>
    </row>
    <row r="82" spans="2:16" x14ac:dyDescent="0.3">
      <c r="B82" s="9"/>
      <c r="C82" s="2" t="str">
        <v/>
      </c>
      <c r="D82" s="2" t="str">
        <v>ADULT PROTECTION AND CARE SERVICES, Meal Sites/Home-delivered Mea, COMMUNITY SERVICES, Group Support, Information and Referral, EDUCATION SERVICES, English Language, RECREATION/LEISURE SERVICES, Arts and Crafts, Sports/Games/Exercise, Brown Bag Food Programs, Congregate Meals/Nutrition Sites, Senior Centers, Older Adults</v>
      </c>
      <c r="E82" s="2" t="str">
        <v>Fair Oaks Adult Activity Center</v>
      </c>
      <c r="P82" s="10"/>
    </row>
    <row r="83" spans="2:16" x14ac:dyDescent="0.3">
      <c r="B83" s="9"/>
      <c r="C83" s="2" t="str">
        <v/>
      </c>
      <c r="D83" s="2" t="str">
        <v>EMPLOYMENT/TRAINING SERVICES, Job Development, Job Information/Placement/Referral, Job Training, Job Training Formats, Job Search/Placement, Older Adults</v>
      </c>
      <c r="E83" s="2" t="str">
        <v>Second Career Employment Program</v>
      </c>
      <c r="P83" s="10"/>
    </row>
    <row r="84" spans="2:16" x14ac:dyDescent="0.3">
      <c r="B84" s="9"/>
      <c r="C84" s="2" t="str">
        <v/>
      </c>
      <c r="D84" s="2" t="str">
        <v>Geriatric Counseling, Older Adults, Gay, Lesbian, Bisexual, Transgender Individuals, Mentoring Programs</v>
      </c>
      <c r="E84" s="2" t="str">
        <v>Senior Peer Counseling</v>
      </c>
      <c r="P84" s="10"/>
    </row>
    <row r="85" spans="2:16" x14ac:dyDescent="0.3">
      <c r="B85" s="9"/>
      <c r="C85" s="2" t="str">
        <v/>
      </c>
      <c r="D85" s="2" t="str">
        <v>INDIVIDUAL AND FAMILY DEVELOPMENT SERVICES, Growth and Adjustment, LEGAL AND CRIMINAL JUSTICE SERVICES, Mediation, Parental Visitation Monitoring, Divorce Counseling, Youth, Abuse Prevention, Child Abuse, Domestic Violence</v>
      </c>
      <c r="E85" s="2" t="str">
        <v>Family Visitation Center</v>
      </c>
      <c r="P85" s="10"/>
    </row>
    <row r="86" spans="2:16" x14ac:dyDescent="0.3">
      <c r="B86" s="9"/>
      <c r="C86" s="2" t="str">
        <v/>
      </c>
      <c r="D86" s="2" t="str">
        <v>COMMUNITY SERVICES, Speakers, Automobile Loans</v>
      </c>
      <c r="E86" s="2" t="str">
        <v>Economic Self-Sufficiency Program</v>
      </c>
      <c r="P86" s="10"/>
    </row>
    <row r="87" spans="2:16" x14ac:dyDescent="0.3">
      <c r="B87" s="9"/>
      <c r="C87" s="2" t="str">
        <v>...</v>
      </c>
      <c r="D87" s="2" t="str">
        <v>...</v>
      </c>
      <c r="E87" s="2" t="str">
        <v>...</v>
      </c>
      <c r="P87" s="10"/>
    </row>
    <row r="88" spans="2:16" x14ac:dyDescent="0.3">
      <c r="B88" s="9"/>
      <c r="C88" s="2" t="str">
        <v/>
      </c>
      <c r="D88" s="2" t="str">
        <v>HEALTH SERVICES, Outpatient Care, Community Clinics, Medicare</v>
      </c>
      <c r="E88" s="2" t="str">
        <v>San Mateo Free Medical Clinic</v>
      </c>
      <c r="P88" s="10"/>
    </row>
    <row r="89" spans="2:16" x14ac:dyDescent="0.3">
      <c r="B89" s="9"/>
      <c r="C89" s="2" t="str">
        <v/>
      </c>
      <c r="D89" s="2" t="str">
        <v/>
      </c>
      <c r="E89" s="2" t="str">
        <v>Service with blank fields</v>
      </c>
      <c r="P89" s="10"/>
    </row>
    <row r="90" spans="2:16" x14ac:dyDescent="0.3">
      <c r="B90" s="9"/>
      <c r="C90" s="2" t="str">
        <v/>
      </c>
      <c r="D90" s="2" t="str">
        <v/>
      </c>
      <c r="E90" s="2" t="str">
        <v>Service for Admin Test Location</v>
      </c>
      <c r="P90" s="10"/>
    </row>
    <row r="91" spans="2:16" x14ac:dyDescent="0.3">
      <c r="B91" s="9"/>
      <c r="C91" s="2" t="str">
        <v>passports@example.org</v>
      </c>
      <c r="D91" s="2" t="str">
        <v>Salud, Medicina</v>
      </c>
      <c r="E91" s="2" t="str">
        <v>Passport Photos</v>
      </c>
      <c r="P91" s="10"/>
    </row>
    <row r="92" spans="2:16" ht="15" thickBot="1" x14ac:dyDescent="0.35">
      <c r="B92" s="11"/>
      <c r="C92" s="12" t="str">
        <v/>
      </c>
      <c r="D92" s="12" t="str">
        <v>Ruby on Rails/Postgres/Redis, testing, wic</v>
      </c>
      <c r="E92" s="12" t="str">
        <v>Example Service Name</v>
      </c>
      <c r="F92" s="12"/>
      <c r="G92" s="12"/>
      <c r="H92" s="12"/>
      <c r="I92" s="12"/>
      <c r="J92" s="12"/>
      <c r="K92" s="12"/>
      <c r="L92" s="12"/>
      <c r="M92" s="12"/>
      <c r="N92" s="12"/>
      <c r="O92" s="12"/>
      <c r="P92" s="13"/>
    </row>
    <row r="93" spans="2:16" ht="15" thickBot="1" x14ac:dyDescent="0.35"/>
    <row r="94" spans="2:16" x14ac:dyDescent="0.3">
      <c r="B94" s="17" t="e" cm="1" vm="12">
        <f t="array" ref="B94">_xlfn._xlws.PY(12,1)</f>
        <v>#VALUE!</v>
      </c>
      <c r="C94" s="7" t="str" cm="1">
        <f t="array" ref="C94:D104">_FV(B94,"arrayPreview")</f>
        <v>id</v>
      </c>
      <c r="D94" s="7" t="str">
        <v>&lt;class 'numpy.dtypes.Int64DType'&gt;</v>
      </c>
      <c r="E94" s="7"/>
      <c r="F94" s="7"/>
      <c r="G94" s="7"/>
      <c r="H94" s="7"/>
      <c r="I94" s="7"/>
      <c r="J94" s="7"/>
      <c r="K94" s="7"/>
      <c r="L94" s="7"/>
      <c r="M94" s="7"/>
      <c r="N94" s="7"/>
      <c r="O94" s="7"/>
      <c r="P94" s="8"/>
    </row>
    <row r="95" spans="2:16" x14ac:dyDescent="0.3">
      <c r="B95" s="9"/>
      <c r="C95" s="2" t="str">
        <v>location_id</v>
      </c>
      <c r="D95" s="2" t="str">
        <v>&lt;class 'numpy.dtypes.Int64DType'&gt;</v>
      </c>
      <c r="P95" s="10"/>
    </row>
    <row r="96" spans="2:16" x14ac:dyDescent="0.3">
      <c r="B96" s="9"/>
      <c r="C96" s="2" t="str">
        <v>program_id</v>
      </c>
      <c r="D96" s="2" t="str">
        <v>&lt;class 'numpy.dtypes.ObjectDType'&gt;</v>
      </c>
      <c r="P96" s="10"/>
    </row>
    <row r="97" spans="2:16" x14ac:dyDescent="0.3">
      <c r="B97" s="9"/>
      <c r="C97" s="2" t="str">
        <v>accepted_payments</v>
      </c>
      <c r="D97" s="2" t="str">
        <v>&lt;class 'numpy.dtypes.ObjectDType'&gt;</v>
      </c>
      <c r="P97" s="10"/>
    </row>
    <row r="98" spans="2:16" x14ac:dyDescent="0.3">
      <c r="B98" s="9"/>
      <c r="C98" s="2" t="str">
        <v>alternate_name</v>
      </c>
      <c r="D98" s="2" t="str">
        <v>&lt;class 'numpy.dtypes.ObjectDType'&gt;</v>
      </c>
      <c r="P98" s="10"/>
    </row>
    <row r="99" spans="2:16" x14ac:dyDescent="0.3">
      <c r="B99" s="9"/>
      <c r="C99" s="2" t="str">
        <v>...</v>
      </c>
      <c r="D99" s="2" t="str">
        <v>...</v>
      </c>
      <c r="P99" s="10"/>
    </row>
    <row r="100" spans="2:16" x14ac:dyDescent="0.3">
      <c r="B100" s="9"/>
      <c r="C100" s="2" t="str">
        <v>service_areas</v>
      </c>
      <c r="D100" s="2" t="str">
        <v>&lt;class 'numpy.dtypes.ObjectDType'&gt;</v>
      </c>
      <c r="P100" s="10"/>
    </row>
    <row r="101" spans="2:16" x14ac:dyDescent="0.3">
      <c r="B101" s="9"/>
      <c r="C101" s="2" t="str">
        <v>status</v>
      </c>
      <c r="D101" s="2" t="str">
        <v>&lt;class 'numpy.dtypes.ObjectDType'&gt;</v>
      </c>
      <c r="P101" s="10"/>
    </row>
    <row r="102" spans="2:16" x14ac:dyDescent="0.3">
      <c r="B102" s="9"/>
      <c r="C102" s="2" t="str">
        <v>wait_time</v>
      </c>
      <c r="D102" s="2" t="str">
        <v>&lt;class 'numpy.dtypes.ObjectDType'&gt;</v>
      </c>
      <c r="P102" s="10"/>
    </row>
    <row r="103" spans="2:16" x14ac:dyDescent="0.3">
      <c r="B103" s="9"/>
      <c r="C103" s="2" t="str">
        <v>website</v>
      </c>
      <c r="D103" s="2" t="str">
        <v>&lt;class 'numpy.dtypes.ObjectDType'&gt;</v>
      </c>
      <c r="P103" s="10"/>
    </row>
    <row r="104" spans="2:16" ht="15" thickBot="1" x14ac:dyDescent="0.35">
      <c r="B104" s="11"/>
      <c r="C104" s="12" t="str">
        <v>taxonomy_ids</v>
      </c>
      <c r="D104" s="12" t="str">
        <v>&lt;class 'numpy.dtypes.ObjectDType'&gt;</v>
      </c>
      <c r="E104" s="12"/>
      <c r="F104" s="12"/>
      <c r="G104" s="12"/>
      <c r="H104" s="12"/>
      <c r="I104" s="12"/>
      <c r="J104" s="12"/>
      <c r="K104" s="12"/>
      <c r="L104" s="12"/>
      <c r="M104" s="12"/>
      <c r="N104" s="12"/>
      <c r="O104" s="12"/>
      <c r="P104" s="13"/>
    </row>
    <row r="106" spans="2:16" x14ac:dyDescent="0.3">
      <c r="B106" s="2" t="e" cm="1" vm="13">
        <f t="array" ref="B106">_xlfn._xlws.PY(13,1)</f>
        <v>#VALUE!</v>
      </c>
    </row>
    <row r="107" spans="2:16" ht="15" thickBot="1" x14ac:dyDescent="0.35"/>
    <row r="108" spans="2:16" x14ac:dyDescent="0.3">
      <c r="B108" s="5" t="e" cm="1" vm="14">
        <f t="array" ref="B108">_xlfn._xlws.PY(14,1,Titanic_Dataset[#All])</f>
        <v>#VALUE!</v>
      </c>
      <c r="C108" s="7" t="str" cm="1">
        <f t="array" ref="C108:M119">_FV(B108,"arrayPreview")</f>
        <v>PassengerId</v>
      </c>
      <c r="D108" s="7" t="str">
        <v>Survived</v>
      </c>
      <c r="E108" s="7" t="str">
        <v>Pclass</v>
      </c>
      <c r="F108" s="7" t="str">
        <v>Name</v>
      </c>
      <c r="G108" s="7" t="str">
        <v>Sex</v>
      </c>
      <c r="H108" s="7" t="str">
        <v>...</v>
      </c>
      <c r="I108" s="7" t="str">
        <v>Parch</v>
      </c>
      <c r="J108" s="7" t="str">
        <v>Ticket</v>
      </c>
      <c r="K108" s="7" t="str">
        <v>Fare</v>
      </c>
      <c r="L108" s="7" t="str">
        <v>Cabin</v>
      </c>
      <c r="M108" s="7" t="str">
        <v>Embarked</v>
      </c>
      <c r="N108" s="7"/>
      <c r="O108" s="7"/>
      <c r="P108" s="8"/>
    </row>
    <row r="109" spans="2:16" x14ac:dyDescent="0.3">
      <c r="B109" s="9"/>
      <c r="C109" s="2">
        <v>1</v>
      </c>
      <c r="D109" s="2">
        <v>0</v>
      </c>
      <c r="E109" s="2">
        <v>3</v>
      </c>
      <c r="F109" s="2" t="str">
        <v>Braund, Mr. Owen Harris</v>
      </c>
      <c r="G109" s="2" t="str">
        <v>male</v>
      </c>
      <c r="H109" s="2" t="str">
        <v>...</v>
      </c>
      <c r="I109" s="2">
        <v>0</v>
      </c>
      <c r="J109" s="2" t="str">
        <v>A/5 21171</v>
      </c>
      <c r="K109" s="2">
        <v>7.25</v>
      </c>
      <c r="L109" s="2" t="str">
        <v/>
      </c>
      <c r="M109" s="2" t="str">
        <v>S</v>
      </c>
      <c r="P109" s="10"/>
    </row>
    <row r="110" spans="2:16" x14ac:dyDescent="0.3">
      <c r="B110" s="9"/>
      <c r="C110" s="2">
        <v>2</v>
      </c>
      <c r="D110" s="2">
        <v>1</v>
      </c>
      <c r="E110" s="2">
        <v>1</v>
      </c>
      <c r="F110" s="2" t="str">
        <v>Cumings, Mrs. John Bradley (Florence Briggs Thayer)</v>
      </c>
      <c r="G110" s="2" t="str">
        <v>female</v>
      </c>
      <c r="H110" s="2" t="str">
        <v>...</v>
      </c>
      <c r="I110" s="2">
        <v>0</v>
      </c>
      <c r="J110" s="2" t="str">
        <v>PC 17599</v>
      </c>
      <c r="K110" s="2">
        <v>71.283299999999997</v>
      </c>
      <c r="L110" s="2" t="str">
        <v>C85</v>
      </c>
      <c r="M110" s="2" t="str">
        <v>C</v>
      </c>
      <c r="P110" s="10"/>
    </row>
    <row r="111" spans="2:16" x14ac:dyDescent="0.3">
      <c r="B111" s="9"/>
      <c r="C111" s="2">
        <v>3</v>
      </c>
      <c r="D111" s="2">
        <v>1</v>
      </c>
      <c r="E111" s="2">
        <v>3</v>
      </c>
      <c r="F111" s="2" t="str">
        <v>Heikkinen, Miss. Laina</v>
      </c>
      <c r="G111" s="2" t="str">
        <v>female</v>
      </c>
      <c r="H111" s="2" t="str">
        <v>...</v>
      </c>
      <c r="I111" s="2">
        <v>0</v>
      </c>
      <c r="J111" s="2" t="str">
        <v>STON/O2. 3101282</v>
      </c>
      <c r="K111" s="2">
        <v>7.9249999999999998</v>
      </c>
      <c r="L111" s="2" t="str">
        <v/>
      </c>
      <c r="M111" s="2" t="str">
        <v>S</v>
      </c>
      <c r="P111" s="10"/>
    </row>
    <row r="112" spans="2:16" x14ac:dyDescent="0.3">
      <c r="B112" s="9"/>
      <c r="C112" s="2">
        <v>4</v>
      </c>
      <c r="D112" s="2">
        <v>1</v>
      </c>
      <c r="E112" s="2">
        <v>1</v>
      </c>
      <c r="F112" s="2" t="str">
        <v>Futrelle, Mrs. Jacques Heath (Lily May Peel)</v>
      </c>
      <c r="G112" s="2" t="str">
        <v>female</v>
      </c>
      <c r="H112" s="2" t="str">
        <v>...</v>
      </c>
      <c r="I112" s="2">
        <v>0</v>
      </c>
      <c r="J112" s="2" t="str">
        <v>113803</v>
      </c>
      <c r="K112" s="2">
        <v>53.1</v>
      </c>
      <c r="L112" s="2" t="str">
        <v>C123</v>
      </c>
      <c r="M112" s="2" t="str">
        <v>S</v>
      </c>
      <c r="P112" s="10"/>
    </row>
    <row r="113" spans="2:16" x14ac:dyDescent="0.3">
      <c r="B113" s="9"/>
      <c r="C113" s="2">
        <v>5</v>
      </c>
      <c r="D113" s="2">
        <v>0</v>
      </c>
      <c r="E113" s="2">
        <v>3</v>
      </c>
      <c r="F113" s="2" t="str">
        <v>Allen, Mr. William Henry</v>
      </c>
      <c r="G113" s="2" t="str">
        <v>male</v>
      </c>
      <c r="H113" s="2" t="str">
        <v>...</v>
      </c>
      <c r="I113" s="2">
        <v>0</v>
      </c>
      <c r="J113" s="2" t="str">
        <v>373450</v>
      </c>
      <c r="K113" s="2">
        <v>8.0500000000000007</v>
      </c>
      <c r="L113" s="2" t="str">
        <v/>
      </c>
      <c r="M113" s="2" t="str">
        <v>S</v>
      </c>
      <c r="P113" s="10"/>
    </row>
    <row r="114" spans="2:16" x14ac:dyDescent="0.3">
      <c r="B114" s="9"/>
      <c r="C114" s="2" t="str">
        <v>...</v>
      </c>
      <c r="D114" s="2" t="str">
        <v>...</v>
      </c>
      <c r="E114" s="2" t="str">
        <v>...</v>
      </c>
      <c r="F114" s="2" t="str">
        <v>...</v>
      </c>
      <c r="G114" s="2" t="str">
        <v>...</v>
      </c>
      <c r="H114" s="2" t="str">
        <v>...</v>
      </c>
      <c r="I114" s="2" t="str">
        <v>...</v>
      </c>
      <c r="J114" s="2" t="str">
        <v>...</v>
      </c>
      <c r="K114" s="2" t="str">
        <v>...</v>
      </c>
      <c r="L114" s="2" t="str">
        <v>...</v>
      </c>
      <c r="M114" s="2" t="str">
        <v>...</v>
      </c>
      <c r="P114" s="10"/>
    </row>
    <row r="115" spans="2:16" x14ac:dyDescent="0.3">
      <c r="B115" s="9"/>
      <c r="C115" s="2">
        <v>887</v>
      </c>
      <c r="D115" s="2">
        <v>0</v>
      </c>
      <c r="E115" s="2">
        <v>2</v>
      </c>
      <c r="F115" s="2" t="str">
        <v>Montvila, Rev. Juozas</v>
      </c>
      <c r="G115" s="2" t="str">
        <v>male</v>
      </c>
      <c r="H115" s="2" t="str">
        <v>...</v>
      </c>
      <c r="I115" s="2">
        <v>0</v>
      </c>
      <c r="J115" s="2" t="str">
        <v>211536</v>
      </c>
      <c r="K115" s="2">
        <v>13</v>
      </c>
      <c r="L115" s="2" t="str">
        <v/>
      </c>
      <c r="M115" s="2" t="str">
        <v>S</v>
      </c>
      <c r="P115" s="10"/>
    </row>
    <row r="116" spans="2:16" x14ac:dyDescent="0.3">
      <c r="B116" s="9"/>
      <c r="C116" s="2">
        <v>888</v>
      </c>
      <c r="D116" s="2">
        <v>1</v>
      </c>
      <c r="E116" s="2">
        <v>1</v>
      </c>
      <c r="F116" s="2" t="str">
        <v>Graham, Miss. Margaret Edith</v>
      </c>
      <c r="G116" s="2" t="str">
        <v>female</v>
      </c>
      <c r="H116" s="2" t="str">
        <v>...</v>
      </c>
      <c r="I116" s="2">
        <v>0</v>
      </c>
      <c r="J116" s="2" t="str">
        <v>112053</v>
      </c>
      <c r="K116" s="2">
        <v>30</v>
      </c>
      <c r="L116" s="2" t="str">
        <v>B42</v>
      </c>
      <c r="M116" s="2" t="str">
        <v>S</v>
      </c>
      <c r="P116" s="10"/>
    </row>
    <row r="117" spans="2:16" x14ac:dyDescent="0.3">
      <c r="B117" s="9"/>
      <c r="C117" s="2">
        <v>889</v>
      </c>
      <c r="D117" s="2">
        <v>0</v>
      </c>
      <c r="E117" s="2">
        <v>3</v>
      </c>
      <c r="F117" s="2" t="str">
        <v>Johnston, Miss. Catherine Helen "Carrie"</v>
      </c>
      <c r="G117" s="2" t="str">
        <v>female</v>
      </c>
      <c r="H117" s="2" t="str">
        <v>...</v>
      </c>
      <c r="I117" s="2">
        <v>2</v>
      </c>
      <c r="J117" s="2" t="str">
        <v>W./C. 6607</v>
      </c>
      <c r="K117" s="2">
        <v>23.45</v>
      </c>
      <c r="L117" s="2" t="str">
        <v/>
      </c>
      <c r="M117" s="2" t="str">
        <v>S</v>
      </c>
      <c r="P117" s="10"/>
    </row>
    <row r="118" spans="2:16" x14ac:dyDescent="0.3">
      <c r="B118" s="9"/>
      <c r="C118" s="2">
        <v>890</v>
      </c>
      <c r="D118" s="2">
        <v>1</v>
      </c>
      <c r="E118" s="2">
        <v>1</v>
      </c>
      <c r="F118" s="2" t="str">
        <v>Behr, Mr. Karl Howell</v>
      </c>
      <c r="G118" s="2" t="str">
        <v>male</v>
      </c>
      <c r="H118" s="2" t="str">
        <v>...</v>
      </c>
      <c r="I118" s="2">
        <v>0</v>
      </c>
      <c r="J118" s="2" t="str">
        <v>111369</v>
      </c>
      <c r="K118" s="2">
        <v>30</v>
      </c>
      <c r="L118" s="2" t="str">
        <v>C148</v>
      </c>
      <c r="M118" s="2" t="str">
        <v>C</v>
      </c>
      <c r="P118" s="10"/>
    </row>
    <row r="119" spans="2:16" ht="15" thickBot="1" x14ac:dyDescent="0.35">
      <c r="B119" s="11"/>
      <c r="C119" s="12">
        <v>891</v>
      </c>
      <c r="D119" s="12">
        <v>0</v>
      </c>
      <c r="E119" s="12">
        <v>3</v>
      </c>
      <c r="F119" s="12" t="str">
        <v>Dooley, Mr. Patrick</v>
      </c>
      <c r="G119" s="12" t="str">
        <v>male</v>
      </c>
      <c r="H119" s="12" t="str">
        <v>...</v>
      </c>
      <c r="I119" s="12">
        <v>0</v>
      </c>
      <c r="J119" s="12" t="str">
        <v>370376</v>
      </c>
      <c r="K119" s="12">
        <v>7.75</v>
      </c>
      <c r="L119" s="12" t="str">
        <v/>
      </c>
      <c r="M119" s="12" t="str">
        <v>Q</v>
      </c>
      <c r="N119" s="12"/>
      <c r="O119" s="12"/>
      <c r="P119" s="13"/>
    </row>
    <row r="120" spans="2:16" ht="15" thickBot="1" x14ac:dyDescent="0.35"/>
    <row r="121" spans="2:16" x14ac:dyDescent="0.3">
      <c r="B121" s="17" t="e" cm="1" vm="15">
        <f t="array" ref="B121">_xlfn._xlws.PY(15,1)</f>
        <v>#VALUE!</v>
      </c>
      <c r="C121" s="7" t="str" cm="1">
        <f t="array" ref="C121:M126">_FV(B121,"arrayPreview")</f>
        <v>PassengerId</v>
      </c>
      <c r="D121" s="7" t="str">
        <v>Survived</v>
      </c>
      <c r="E121" s="7" t="str">
        <v>Pclass</v>
      </c>
      <c r="F121" s="7" t="str">
        <v>Name</v>
      </c>
      <c r="G121" s="7" t="str">
        <v>Sex</v>
      </c>
      <c r="H121" s="7" t="str">
        <v>...</v>
      </c>
      <c r="I121" s="7" t="str">
        <v>Parch</v>
      </c>
      <c r="J121" s="7" t="str">
        <v>Ticket</v>
      </c>
      <c r="K121" s="7" t="str">
        <v>Fare</v>
      </c>
      <c r="L121" s="7" t="str">
        <v>Cabin</v>
      </c>
      <c r="M121" s="7" t="str">
        <v>Embarked</v>
      </c>
      <c r="N121" s="7"/>
      <c r="O121" s="7"/>
      <c r="P121" s="8"/>
    </row>
    <row r="122" spans="2:16" x14ac:dyDescent="0.3">
      <c r="B122" s="9"/>
      <c r="C122" s="2">
        <v>1</v>
      </c>
      <c r="D122" s="2">
        <v>0</v>
      </c>
      <c r="E122" s="2">
        <v>3</v>
      </c>
      <c r="F122" s="2" t="str">
        <v>Braund, Mr. Owen Harris</v>
      </c>
      <c r="G122" s="2" t="str">
        <v>male</v>
      </c>
      <c r="H122" s="2" t="str">
        <v>...</v>
      </c>
      <c r="I122" s="2">
        <v>0</v>
      </c>
      <c r="J122" s="2" t="str">
        <v>A/5 21171</v>
      </c>
      <c r="K122" s="2">
        <v>7.25</v>
      </c>
      <c r="L122" s="2" t="str">
        <v/>
      </c>
      <c r="M122" s="2" t="str">
        <v>S</v>
      </c>
      <c r="P122" s="10"/>
    </row>
    <row r="123" spans="2:16" x14ac:dyDescent="0.3">
      <c r="B123" s="9"/>
      <c r="C123" s="2">
        <v>2</v>
      </c>
      <c r="D123" s="2">
        <v>1</v>
      </c>
      <c r="E123" s="2">
        <v>1</v>
      </c>
      <c r="F123" s="2" t="str">
        <v>Cumings, Mrs. John Bradley (Florence Briggs Thayer)</v>
      </c>
      <c r="G123" s="2" t="str">
        <v>female</v>
      </c>
      <c r="H123" s="2" t="str">
        <v>...</v>
      </c>
      <c r="I123" s="2">
        <v>0</v>
      </c>
      <c r="J123" s="2" t="str">
        <v>PC 17599</v>
      </c>
      <c r="K123" s="2">
        <v>71.283299999999997</v>
      </c>
      <c r="L123" s="2" t="str">
        <v>C85</v>
      </c>
      <c r="M123" s="2" t="str">
        <v>C</v>
      </c>
      <c r="P123" s="10"/>
    </row>
    <row r="124" spans="2:16" x14ac:dyDescent="0.3">
      <c r="B124" s="9"/>
      <c r="C124" s="2">
        <v>3</v>
      </c>
      <c r="D124" s="2">
        <v>1</v>
      </c>
      <c r="E124" s="2">
        <v>3</v>
      </c>
      <c r="F124" s="2" t="str">
        <v>Heikkinen, Miss. Laina</v>
      </c>
      <c r="G124" s="2" t="str">
        <v>female</v>
      </c>
      <c r="H124" s="2" t="str">
        <v>...</v>
      </c>
      <c r="I124" s="2">
        <v>0</v>
      </c>
      <c r="J124" s="2" t="str">
        <v>STON/O2. 3101282</v>
      </c>
      <c r="K124" s="2">
        <v>7.9249999999999998</v>
      </c>
      <c r="L124" s="2" t="str">
        <v/>
      </c>
      <c r="M124" s="2" t="str">
        <v>S</v>
      </c>
      <c r="P124" s="10"/>
    </row>
    <row r="125" spans="2:16" x14ac:dyDescent="0.3">
      <c r="B125" s="9"/>
      <c r="C125" s="2">
        <v>4</v>
      </c>
      <c r="D125" s="2">
        <v>1</v>
      </c>
      <c r="E125" s="2">
        <v>1</v>
      </c>
      <c r="F125" s="2" t="str">
        <v>Futrelle, Mrs. Jacques Heath (Lily May Peel)</v>
      </c>
      <c r="G125" s="2" t="str">
        <v>female</v>
      </c>
      <c r="H125" s="2" t="str">
        <v>...</v>
      </c>
      <c r="I125" s="2">
        <v>0</v>
      </c>
      <c r="J125" s="2" t="str">
        <v>113803</v>
      </c>
      <c r="K125" s="2">
        <v>53.1</v>
      </c>
      <c r="L125" s="2" t="str">
        <v>C123</v>
      </c>
      <c r="M125" s="2" t="str">
        <v>S</v>
      </c>
      <c r="P125" s="10"/>
    </row>
    <row r="126" spans="2:16" ht="15" thickBot="1" x14ac:dyDescent="0.35">
      <c r="B126" s="11"/>
      <c r="C126" s="12">
        <v>5</v>
      </c>
      <c r="D126" s="12">
        <v>0</v>
      </c>
      <c r="E126" s="12">
        <v>3</v>
      </c>
      <c r="F126" s="12" t="str">
        <v>Allen, Mr. William Henry</v>
      </c>
      <c r="G126" s="12" t="str">
        <v>male</v>
      </c>
      <c r="H126" s="12" t="str">
        <v>...</v>
      </c>
      <c r="I126" s="12">
        <v>0</v>
      </c>
      <c r="J126" s="12" t="str">
        <v>373450</v>
      </c>
      <c r="K126" s="12">
        <v>8.0500000000000007</v>
      </c>
      <c r="L126" s="12" t="str">
        <v/>
      </c>
      <c r="M126" s="12" t="str">
        <v>S</v>
      </c>
      <c r="N126" s="12"/>
      <c r="O126" s="12"/>
      <c r="P126" s="13"/>
    </row>
    <row r="127" spans="2:16" ht="15" thickBot="1" x14ac:dyDescent="0.35"/>
    <row r="128" spans="2:16" ht="15" thickBot="1" x14ac:dyDescent="0.35">
      <c r="B128" s="14" t="e" cm="1" vm="16">
        <f t="array" ref="B128">_xlfn._xlws.PY(16,1)</f>
        <v>#VALUE!</v>
      </c>
      <c r="C128" s="15" t="str" cm="1">
        <f t="array" ref="C128">_xlfn._DF_Python_str(B128)</f>
        <v>Index(['PassengerId', 'Survived', 'Pclass', 'Name', 'Sex', 'Age', 'SibSp',
       'Parch', 'Ticket', 'Fare', 'Cabin', 'Embarked'],
      dtype='object')</v>
      </c>
      <c r="D128" s="15"/>
      <c r="E128" s="15"/>
      <c r="F128" s="15"/>
      <c r="G128" s="15"/>
      <c r="H128" s="15"/>
      <c r="I128" s="15"/>
      <c r="J128" s="15"/>
      <c r="K128" s="15"/>
      <c r="L128" s="15"/>
      <c r="M128" s="15"/>
      <c r="N128" s="15"/>
      <c r="O128" s="15"/>
      <c r="P128" s="16"/>
    </row>
    <row r="129" spans="2:16" ht="15" thickBot="1" x14ac:dyDescent="0.35"/>
    <row r="130" spans="2:16" x14ac:dyDescent="0.3">
      <c r="B130" s="17" t="e" cm="1" vm="17">
        <f t="array" ref="B130">_xlfn._xlws.PY(17,1)</f>
        <v>#VALUE!</v>
      </c>
      <c r="C130" s="7" t="str" cm="1">
        <f t="array" ref="C130:C141">_FV(B130,"arrayPreview")</f>
        <v>Survived</v>
      </c>
      <c r="D130" s="7"/>
      <c r="E130" s="7"/>
      <c r="F130" s="7"/>
      <c r="G130" s="7"/>
      <c r="H130" s="7"/>
      <c r="I130" s="7"/>
      <c r="J130" s="7"/>
      <c r="K130" s="7"/>
      <c r="L130" s="7"/>
      <c r="M130" s="7"/>
      <c r="N130" s="7"/>
      <c r="O130" s="7"/>
      <c r="P130" s="8"/>
    </row>
    <row r="131" spans="2:16" x14ac:dyDescent="0.3">
      <c r="B131" s="9"/>
      <c r="C131" s="2">
        <v>0</v>
      </c>
      <c r="P131" s="10"/>
    </row>
    <row r="132" spans="2:16" x14ac:dyDescent="0.3">
      <c r="B132" s="9"/>
      <c r="C132" s="2">
        <v>1</v>
      </c>
      <c r="P132" s="10"/>
    </row>
    <row r="133" spans="2:16" x14ac:dyDescent="0.3">
      <c r="B133" s="9"/>
      <c r="C133" s="2">
        <v>1</v>
      </c>
      <c r="P133" s="10"/>
    </row>
    <row r="134" spans="2:16" x14ac:dyDescent="0.3">
      <c r="B134" s="9"/>
      <c r="C134" s="2">
        <v>1</v>
      </c>
      <c r="P134" s="10"/>
    </row>
    <row r="135" spans="2:16" x14ac:dyDescent="0.3">
      <c r="B135" s="9"/>
      <c r="C135" s="2">
        <v>0</v>
      </c>
      <c r="P135" s="10"/>
    </row>
    <row r="136" spans="2:16" x14ac:dyDescent="0.3">
      <c r="B136" s="9"/>
      <c r="C136" s="2" t="str">
        <v>...</v>
      </c>
      <c r="P136" s="10"/>
    </row>
    <row r="137" spans="2:16" x14ac:dyDescent="0.3">
      <c r="B137" s="9"/>
      <c r="C137" s="2">
        <v>0</v>
      </c>
      <c r="P137" s="10"/>
    </row>
    <row r="138" spans="2:16" x14ac:dyDescent="0.3">
      <c r="B138" s="9"/>
      <c r="C138" s="2">
        <v>1</v>
      </c>
      <c r="P138" s="10"/>
    </row>
    <row r="139" spans="2:16" x14ac:dyDescent="0.3">
      <c r="B139" s="9"/>
      <c r="C139" s="2">
        <v>0</v>
      </c>
      <c r="P139" s="10"/>
    </row>
    <row r="140" spans="2:16" x14ac:dyDescent="0.3">
      <c r="B140" s="9"/>
      <c r="C140" s="2">
        <v>1</v>
      </c>
      <c r="P140" s="10"/>
    </row>
    <row r="141" spans="2:16" ht="15" thickBot="1" x14ac:dyDescent="0.35">
      <c r="B141" s="11"/>
      <c r="C141" s="12">
        <v>0</v>
      </c>
      <c r="D141" s="12"/>
      <c r="E141" s="12"/>
      <c r="F141" s="12"/>
      <c r="G141" s="12"/>
      <c r="H141" s="12"/>
      <c r="I141" s="12"/>
      <c r="J141" s="12"/>
      <c r="K141" s="12"/>
      <c r="L141" s="12"/>
      <c r="M141" s="12"/>
      <c r="N141" s="12"/>
      <c r="O141" s="12"/>
      <c r="P141" s="13"/>
    </row>
    <row r="142" spans="2:16" ht="15" thickBot="1" x14ac:dyDescent="0.35"/>
    <row r="143" spans="2:16" x14ac:dyDescent="0.3">
      <c r="B143" s="17" t="e" cm="1" vm="18">
        <f t="array" ref="B143">_xlfn._xlws.PY(18,1)</f>
        <v>#VALUE!</v>
      </c>
      <c r="C143" s="7" t="str" cm="1">
        <f t="array" ref="C143:E154">_FV(B143,"arrayPreview")</f>
        <v>Survived</v>
      </c>
      <c r="D143" s="7" t="str">
        <v>Pclass</v>
      </c>
      <c r="E143" s="7" t="str">
        <v>Name</v>
      </c>
      <c r="F143" s="7"/>
      <c r="G143" s="7"/>
      <c r="H143" s="7"/>
      <c r="I143" s="7"/>
      <c r="J143" s="7"/>
      <c r="K143" s="7"/>
      <c r="L143" s="7"/>
      <c r="M143" s="7"/>
      <c r="N143" s="7"/>
      <c r="O143" s="7"/>
      <c r="P143" s="8"/>
    </row>
    <row r="144" spans="2:16" x14ac:dyDescent="0.3">
      <c r="B144" s="9"/>
      <c r="C144" s="2">
        <v>0</v>
      </c>
      <c r="D144" s="2">
        <v>3</v>
      </c>
      <c r="E144" s="2" t="str">
        <v>Braund, Mr. Owen Harris</v>
      </c>
      <c r="P144" s="10"/>
    </row>
    <row r="145" spans="2:16" x14ac:dyDescent="0.3">
      <c r="B145" s="9"/>
      <c r="C145" s="2">
        <v>1</v>
      </c>
      <c r="D145" s="2">
        <v>1</v>
      </c>
      <c r="E145" s="2" t="str">
        <v>Cumings, Mrs. John Bradley (Florence Briggs Thayer)</v>
      </c>
      <c r="P145" s="10"/>
    </row>
    <row r="146" spans="2:16" x14ac:dyDescent="0.3">
      <c r="B146" s="9"/>
      <c r="C146" s="2">
        <v>1</v>
      </c>
      <c r="D146" s="2">
        <v>3</v>
      </c>
      <c r="E146" s="2" t="str">
        <v>Heikkinen, Miss. Laina</v>
      </c>
      <c r="P146" s="10"/>
    </row>
    <row r="147" spans="2:16" x14ac:dyDescent="0.3">
      <c r="B147" s="9"/>
      <c r="C147" s="2">
        <v>1</v>
      </c>
      <c r="D147" s="2">
        <v>1</v>
      </c>
      <c r="E147" s="2" t="str">
        <v>Futrelle, Mrs. Jacques Heath (Lily May Peel)</v>
      </c>
      <c r="P147" s="10"/>
    </row>
    <row r="148" spans="2:16" x14ac:dyDescent="0.3">
      <c r="B148" s="9"/>
      <c r="C148" s="2">
        <v>0</v>
      </c>
      <c r="D148" s="2">
        <v>3</v>
      </c>
      <c r="E148" s="2" t="str">
        <v>Allen, Mr. William Henry</v>
      </c>
      <c r="P148" s="10"/>
    </row>
    <row r="149" spans="2:16" x14ac:dyDescent="0.3">
      <c r="B149" s="9"/>
      <c r="C149" s="2" t="str">
        <v>...</v>
      </c>
      <c r="D149" s="2" t="str">
        <v>...</v>
      </c>
      <c r="E149" s="2" t="str">
        <v>...</v>
      </c>
      <c r="P149" s="10"/>
    </row>
    <row r="150" spans="2:16" x14ac:dyDescent="0.3">
      <c r="B150" s="9"/>
      <c r="C150" s="2">
        <v>0</v>
      </c>
      <c r="D150" s="2">
        <v>2</v>
      </c>
      <c r="E150" s="2" t="str">
        <v>Montvila, Rev. Juozas</v>
      </c>
      <c r="P150" s="10"/>
    </row>
    <row r="151" spans="2:16" x14ac:dyDescent="0.3">
      <c r="B151" s="9"/>
      <c r="C151" s="2">
        <v>1</v>
      </c>
      <c r="D151" s="2">
        <v>1</v>
      </c>
      <c r="E151" s="2" t="str">
        <v>Graham, Miss. Margaret Edith</v>
      </c>
      <c r="P151" s="10"/>
    </row>
    <row r="152" spans="2:16" x14ac:dyDescent="0.3">
      <c r="B152" s="9"/>
      <c r="C152" s="2">
        <v>0</v>
      </c>
      <c r="D152" s="2">
        <v>3</v>
      </c>
      <c r="E152" s="2" t="str">
        <v>Johnston, Miss. Catherine Helen "Carrie"</v>
      </c>
      <c r="P152" s="10"/>
    </row>
    <row r="153" spans="2:16" x14ac:dyDescent="0.3">
      <c r="B153" s="9"/>
      <c r="C153" s="2">
        <v>1</v>
      </c>
      <c r="D153" s="2">
        <v>1</v>
      </c>
      <c r="E153" s="2" t="str">
        <v>Behr, Mr. Karl Howell</v>
      </c>
      <c r="P153" s="10"/>
    </row>
    <row r="154" spans="2:16" ht="15" thickBot="1" x14ac:dyDescent="0.35">
      <c r="B154" s="11"/>
      <c r="C154" s="12">
        <v>0</v>
      </c>
      <c r="D154" s="12">
        <v>3</v>
      </c>
      <c r="E154" s="12" t="str">
        <v>Dooley, Mr. Patrick</v>
      </c>
      <c r="F154" s="12"/>
      <c r="G154" s="12"/>
      <c r="H154" s="12"/>
      <c r="I154" s="12"/>
      <c r="J154" s="12"/>
      <c r="K154" s="12"/>
      <c r="L154" s="12"/>
      <c r="M154" s="12"/>
      <c r="N154" s="12"/>
      <c r="O154" s="12"/>
      <c r="P154" s="13"/>
    </row>
    <row r="156" spans="2:16" x14ac:dyDescent="0.3">
      <c r="B156" s="2" t="e" cm="1" vm="13">
        <f t="array" ref="B156">_xlfn._xlws.PY(19,1)</f>
        <v>#VALUE!</v>
      </c>
    </row>
    <row r="157" spans="2:16" ht="15" thickBot="1" x14ac:dyDescent="0.35"/>
    <row r="158" spans="2:16" x14ac:dyDescent="0.3">
      <c r="B158" s="5" t="s">
        <v>2490</v>
      </c>
      <c r="C158" s="7"/>
      <c r="D158" s="7"/>
      <c r="E158" s="7"/>
      <c r="F158" s="7"/>
      <c r="G158" s="7"/>
      <c r="H158" s="7"/>
      <c r="I158" s="7"/>
      <c r="J158" s="7"/>
      <c r="K158" s="7"/>
      <c r="L158" s="7"/>
      <c r="M158" s="7"/>
      <c r="N158" s="7"/>
      <c r="O158" s="7"/>
      <c r="P158" s="8"/>
    </row>
    <row r="159" spans="2:16" x14ac:dyDescent="0.3">
      <c r="B159" s="9" t="e" cm="1" vm="19">
        <f t="array" ref="B159">_xlfn._xlws.PY(20,1,'NBA Player Data From_Web'!A1:AD676)</f>
        <v>#VALUE!</v>
      </c>
      <c r="C159" s="2" t="str" cm="1">
        <f t="array" ref="C159:M170">_FV(B159,"arrayPreview")</f>
        <v>Rk</v>
      </c>
      <c r="D159" s="2" t="str">
        <v>Player</v>
      </c>
      <c r="E159" s="2" t="str">
        <v>Pos</v>
      </c>
      <c r="F159" s="2" t="str">
        <v>Age</v>
      </c>
      <c r="G159" s="2" t="str">
        <v>Tm</v>
      </c>
      <c r="H159" s="2" t="str">
        <v>...</v>
      </c>
      <c r="I159" s="2" t="str">
        <v>STL</v>
      </c>
      <c r="J159" s="2" t="str">
        <v>BLK</v>
      </c>
      <c r="K159" s="2" t="str">
        <v>TOV</v>
      </c>
      <c r="L159" s="2" t="str">
        <v>PF</v>
      </c>
      <c r="M159" s="2" t="str">
        <v>PTS</v>
      </c>
      <c r="P159" s="10"/>
    </row>
    <row r="160" spans="2:16" x14ac:dyDescent="0.3">
      <c r="B160" s="9"/>
      <c r="C160" s="2">
        <v>1</v>
      </c>
      <c r="D160" s="2" t="str">
        <v>Quincy Acy</v>
      </c>
      <c r="E160" s="2" t="str">
        <v>PF</v>
      </c>
      <c r="F160" s="2">
        <v>24</v>
      </c>
      <c r="G160" s="2" t="str">
        <v>NYK</v>
      </c>
      <c r="H160" s="2" t="str">
        <v>...</v>
      </c>
      <c r="I160" s="2">
        <v>27</v>
      </c>
      <c r="J160" s="2">
        <v>22</v>
      </c>
      <c r="K160" s="2">
        <v>60</v>
      </c>
      <c r="L160" s="2">
        <v>147</v>
      </c>
      <c r="M160" s="2">
        <v>398</v>
      </c>
      <c r="P160" s="10"/>
    </row>
    <row r="161" spans="2:16" x14ac:dyDescent="0.3">
      <c r="B161" s="9"/>
      <c r="C161" s="2">
        <v>2</v>
      </c>
      <c r="D161" s="2" t="str">
        <v>Jordan Adams</v>
      </c>
      <c r="E161" s="2" t="str">
        <v>SG</v>
      </c>
      <c r="F161" s="2">
        <v>20</v>
      </c>
      <c r="G161" s="2" t="str">
        <v>MEM</v>
      </c>
      <c r="H161" s="2" t="str">
        <v>...</v>
      </c>
      <c r="I161" s="2">
        <v>16</v>
      </c>
      <c r="J161" s="2">
        <v>7</v>
      </c>
      <c r="K161" s="2">
        <v>14</v>
      </c>
      <c r="L161" s="2">
        <v>24</v>
      </c>
      <c r="M161" s="2">
        <v>94</v>
      </c>
      <c r="P161" s="10"/>
    </row>
    <row r="162" spans="2:16" x14ac:dyDescent="0.3">
      <c r="B162" s="9"/>
      <c r="C162" s="2">
        <v>3</v>
      </c>
      <c r="D162" s="2" t="str">
        <v>Steven Adams</v>
      </c>
      <c r="E162" s="2" t="str">
        <v>C</v>
      </c>
      <c r="F162" s="2">
        <v>21</v>
      </c>
      <c r="G162" s="2" t="str">
        <v>OKC</v>
      </c>
      <c r="H162" s="2" t="str">
        <v>...</v>
      </c>
      <c r="I162" s="2">
        <v>38</v>
      </c>
      <c r="J162" s="2">
        <v>86</v>
      </c>
      <c r="K162" s="2">
        <v>99</v>
      </c>
      <c r="L162" s="2">
        <v>222</v>
      </c>
      <c r="M162" s="2">
        <v>537</v>
      </c>
      <c r="P162" s="10"/>
    </row>
    <row r="163" spans="2:16" x14ac:dyDescent="0.3">
      <c r="B163" s="9"/>
      <c r="C163" s="2">
        <v>4</v>
      </c>
      <c r="D163" s="2" t="str">
        <v>Jeff Adrien</v>
      </c>
      <c r="E163" s="2" t="str">
        <v>PF</v>
      </c>
      <c r="F163" s="2">
        <v>28</v>
      </c>
      <c r="G163" s="2" t="str">
        <v>MIN</v>
      </c>
      <c r="H163" s="2" t="str">
        <v>...</v>
      </c>
      <c r="I163" s="2">
        <v>4</v>
      </c>
      <c r="J163" s="2">
        <v>9</v>
      </c>
      <c r="K163" s="2">
        <v>9</v>
      </c>
      <c r="L163" s="2">
        <v>30</v>
      </c>
      <c r="M163" s="2">
        <v>60</v>
      </c>
      <c r="P163" s="10"/>
    </row>
    <row r="164" spans="2:16" x14ac:dyDescent="0.3">
      <c r="B164" s="9"/>
      <c r="C164" s="2">
        <v>5</v>
      </c>
      <c r="D164" s="2" t="str">
        <v>Arron Afflalo</v>
      </c>
      <c r="E164" s="2" t="str">
        <v>SG</v>
      </c>
      <c r="F164" s="2">
        <v>29</v>
      </c>
      <c r="G164" s="2" t="str">
        <v>TOT</v>
      </c>
      <c r="H164" s="2" t="str">
        <v>...</v>
      </c>
      <c r="I164" s="2">
        <v>41</v>
      </c>
      <c r="J164" s="2">
        <v>7</v>
      </c>
      <c r="K164" s="2">
        <v>116</v>
      </c>
      <c r="L164" s="2">
        <v>167</v>
      </c>
      <c r="M164" s="2">
        <v>1035</v>
      </c>
      <c r="P164" s="10"/>
    </row>
    <row r="165" spans="2:16" x14ac:dyDescent="0.3">
      <c r="B165" s="9"/>
      <c r="C165" s="2" t="str">
        <v>...</v>
      </c>
      <c r="D165" s="2" t="str">
        <v>...</v>
      </c>
      <c r="E165" s="2" t="str">
        <v>...</v>
      </c>
      <c r="F165" s="2" t="str">
        <v>...</v>
      </c>
      <c r="G165" s="2" t="str">
        <v>...</v>
      </c>
      <c r="H165" s="2" t="str">
        <v>...</v>
      </c>
      <c r="I165" s="2" t="str">
        <v>...</v>
      </c>
      <c r="J165" s="2" t="str">
        <v>...</v>
      </c>
      <c r="K165" s="2" t="str">
        <v>...</v>
      </c>
      <c r="L165" s="2" t="str">
        <v>...</v>
      </c>
      <c r="M165" s="2" t="str">
        <v>...</v>
      </c>
      <c r="P165" s="10"/>
    </row>
    <row r="166" spans="2:16" x14ac:dyDescent="0.3">
      <c r="B166" s="9"/>
      <c r="C166" s="2">
        <v>490</v>
      </c>
      <c r="D166" s="2" t="str">
        <v>Thaddeus Young</v>
      </c>
      <c r="E166" s="2" t="str">
        <v>PF</v>
      </c>
      <c r="F166" s="2">
        <v>26</v>
      </c>
      <c r="G166" s="2" t="str">
        <v>TOT</v>
      </c>
      <c r="H166" s="2" t="str">
        <v>...</v>
      </c>
      <c r="I166" s="2">
        <v>124</v>
      </c>
      <c r="J166" s="2">
        <v>25</v>
      </c>
      <c r="K166" s="2">
        <v>117</v>
      </c>
      <c r="L166" s="2">
        <v>171</v>
      </c>
      <c r="M166" s="2">
        <v>1071</v>
      </c>
      <c r="P166" s="10"/>
    </row>
    <row r="167" spans="2:16" x14ac:dyDescent="0.3">
      <c r="B167" s="9"/>
      <c r="C167" s="2">
        <v>490</v>
      </c>
      <c r="D167" s="2" t="str">
        <v>Thaddeus Young</v>
      </c>
      <c r="E167" s="2" t="str">
        <v>PF</v>
      </c>
      <c r="F167" s="2">
        <v>26</v>
      </c>
      <c r="G167" s="2" t="str">
        <v>MIN</v>
      </c>
      <c r="H167" s="2" t="str">
        <v>...</v>
      </c>
      <c r="I167" s="2">
        <v>86</v>
      </c>
      <c r="J167" s="2">
        <v>17</v>
      </c>
      <c r="K167" s="2">
        <v>75</v>
      </c>
      <c r="L167" s="2">
        <v>115</v>
      </c>
      <c r="M167" s="2">
        <v>685</v>
      </c>
      <c r="P167" s="10"/>
    </row>
    <row r="168" spans="2:16" x14ac:dyDescent="0.3">
      <c r="B168" s="9"/>
      <c r="C168" s="2">
        <v>490</v>
      </c>
      <c r="D168" s="2" t="str">
        <v>Thaddeus Young</v>
      </c>
      <c r="E168" s="2" t="str">
        <v>PF</v>
      </c>
      <c r="F168" s="2">
        <v>26</v>
      </c>
      <c r="G168" s="2" t="str">
        <v>BRK</v>
      </c>
      <c r="H168" s="2" t="str">
        <v>...</v>
      </c>
      <c r="I168" s="2">
        <v>38</v>
      </c>
      <c r="J168" s="2">
        <v>8</v>
      </c>
      <c r="K168" s="2">
        <v>42</v>
      </c>
      <c r="L168" s="2">
        <v>56</v>
      </c>
      <c r="M168" s="2">
        <v>386</v>
      </c>
      <c r="P168" s="10"/>
    </row>
    <row r="169" spans="2:16" x14ac:dyDescent="0.3">
      <c r="B169" s="9"/>
      <c r="C169" s="2">
        <v>491</v>
      </c>
      <c r="D169" s="2" t="str">
        <v>Cody Zeller</v>
      </c>
      <c r="E169" s="2" t="str">
        <v>C</v>
      </c>
      <c r="F169" s="2">
        <v>22</v>
      </c>
      <c r="G169" s="2" t="str">
        <v>CHO</v>
      </c>
      <c r="H169" s="2" t="str">
        <v>...</v>
      </c>
      <c r="I169" s="2">
        <v>34</v>
      </c>
      <c r="J169" s="2">
        <v>49</v>
      </c>
      <c r="K169" s="2">
        <v>62</v>
      </c>
      <c r="L169" s="2">
        <v>156</v>
      </c>
      <c r="M169" s="2">
        <v>472</v>
      </c>
      <c r="P169" s="10"/>
    </row>
    <row r="170" spans="2:16" ht="15" thickBot="1" x14ac:dyDescent="0.35">
      <c r="B170" s="11"/>
      <c r="C170" s="12">
        <v>492</v>
      </c>
      <c r="D170" s="12" t="str">
        <v>Tyler Zeller</v>
      </c>
      <c r="E170" s="12" t="str">
        <v>C</v>
      </c>
      <c r="F170" s="12">
        <v>25</v>
      </c>
      <c r="G170" s="12" t="str">
        <v>BOS</v>
      </c>
      <c r="H170" s="12" t="str">
        <v>...</v>
      </c>
      <c r="I170" s="12">
        <v>18</v>
      </c>
      <c r="J170" s="12">
        <v>52</v>
      </c>
      <c r="K170" s="12">
        <v>76</v>
      </c>
      <c r="L170" s="12">
        <v>205</v>
      </c>
      <c r="M170" s="12">
        <v>833</v>
      </c>
      <c r="N170" s="12"/>
      <c r="O170" s="12"/>
      <c r="P170" s="13"/>
    </row>
    <row r="171" spans="2:16" ht="15" thickBot="1" x14ac:dyDescent="0.35"/>
    <row r="172" spans="2:16" ht="15" thickBot="1" x14ac:dyDescent="0.35">
      <c r="B172" s="14" t="e" cm="1" vm="4">
        <f t="array" ref="B172">_xlfn._xlws.PY(21,1)</f>
        <v>#VALUE!</v>
      </c>
      <c r="C172" s="15" t="str" cm="1">
        <f t="array" ref="C172">_xlfn._DF_Python_str(B172)</f>
        <v>&lt;class 'pandas.core.frame.DataFrame'&gt;</v>
      </c>
      <c r="D172" s="15"/>
      <c r="E172" s="15"/>
      <c r="F172" s="15"/>
      <c r="G172" s="15"/>
      <c r="H172" s="15"/>
      <c r="I172" s="15"/>
      <c r="J172" s="15"/>
      <c r="K172" s="15"/>
      <c r="L172" s="15"/>
      <c r="M172" s="15"/>
      <c r="N172" s="15"/>
      <c r="O172" s="15"/>
      <c r="P172" s="16"/>
    </row>
    <row r="173" spans="2:16" ht="15" thickBot="1" x14ac:dyDescent="0.35"/>
    <row r="174" spans="2:16" ht="15" thickBot="1" x14ac:dyDescent="0.35">
      <c r="B174" s="14" cm="1" vm="20">
        <f t="array" ref="B174">_xlfn._xlws.PY(22,1)</f>
        <v>675</v>
      </c>
      <c r="C174" s="15" t="str" cm="1">
        <f t="array" ref="C174">_xlfn._DF_Python_type(B174)</f>
        <v>&lt;class 'int'&gt;</v>
      </c>
      <c r="D174" s="15"/>
      <c r="E174" s="15"/>
      <c r="F174" s="15"/>
      <c r="G174" s="15"/>
      <c r="H174" s="15"/>
      <c r="I174" s="15"/>
      <c r="J174" s="15"/>
      <c r="K174" s="15"/>
      <c r="L174" s="15"/>
      <c r="M174" s="15"/>
      <c r="N174" s="15"/>
      <c r="O174" s="15"/>
      <c r="P174" s="16"/>
    </row>
    <row r="175" spans="2:16" ht="15" thickBot="1" x14ac:dyDescent="0.35"/>
    <row r="176" spans="2:16" ht="15" thickBot="1" x14ac:dyDescent="0.35">
      <c r="B176" s="14" t="e" cm="1" vm="19">
        <f t="array" ref="B176">_xlfn._xlws.PY(23,1)</f>
        <v>#VALUE!</v>
      </c>
      <c r="C176" s="15"/>
      <c r="D176" s="15"/>
      <c r="E176" s="15"/>
      <c r="F176" s="15"/>
      <c r="G176" s="15"/>
      <c r="H176" s="15"/>
      <c r="I176" s="15"/>
      <c r="J176" s="15"/>
      <c r="K176" s="15"/>
      <c r="L176" s="15"/>
      <c r="M176" s="15"/>
      <c r="N176" s="15"/>
      <c r="O176" s="15"/>
      <c r="P176" s="16"/>
    </row>
    <row r="177" spans="2:16" ht="15" thickBot="1" x14ac:dyDescent="0.35"/>
    <row r="178" spans="2:16" x14ac:dyDescent="0.3">
      <c r="B178" s="17" t="e" cm="1" vm="19">
        <f t="array" ref="B178">_xlfn._xlws.PY(24,1)</f>
        <v>#VALUE!</v>
      </c>
      <c r="C178" s="7" t="str" cm="1">
        <f t="array" ref="C178:M189">_FV(B178,"arrayPreview")</f>
        <v>Rk</v>
      </c>
      <c r="D178" s="7" t="str">
        <v>Player</v>
      </c>
      <c r="E178" s="7" t="str">
        <v>Pos</v>
      </c>
      <c r="F178" s="7" t="str">
        <v>Age</v>
      </c>
      <c r="G178" s="7" t="str">
        <v>Tm</v>
      </c>
      <c r="H178" s="7" t="str">
        <v>...</v>
      </c>
      <c r="I178" s="7" t="str">
        <v>STL</v>
      </c>
      <c r="J178" s="7" t="str">
        <v>BLK</v>
      </c>
      <c r="K178" s="7" t="str">
        <v>TOV</v>
      </c>
      <c r="L178" s="7" t="str">
        <v>PF</v>
      </c>
      <c r="M178" s="7" t="str">
        <v>PTS</v>
      </c>
      <c r="N178" s="7"/>
      <c r="O178" s="7"/>
      <c r="P178" s="8"/>
    </row>
    <row r="179" spans="2:16" x14ac:dyDescent="0.3">
      <c r="B179" s="9"/>
      <c r="C179" s="2">
        <v>1</v>
      </c>
      <c r="D179" s="2" t="str">
        <v>Quincy Acy</v>
      </c>
      <c r="E179" s="2" t="str">
        <v>PF</v>
      </c>
      <c r="F179" s="2">
        <v>24</v>
      </c>
      <c r="G179" s="2" t="str">
        <v>NYK</v>
      </c>
      <c r="H179" s="2" t="str">
        <v>...</v>
      </c>
      <c r="I179" s="2">
        <v>27</v>
      </c>
      <c r="J179" s="2">
        <v>22</v>
      </c>
      <c r="K179" s="2">
        <v>60</v>
      </c>
      <c r="L179" s="2">
        <v>147</v>
      </c>
      <c r="M179" s="2">
        <v>398</v>
      </c>
      <c r="P179" s="10"/>
    </row>
    <row r="180" spans="2:16" x14ac:dyDescent="0.3">
      <c r="B180" s="9"/>
      <c r="C180" s="2">
        <v>2</v>
      </c>
      <c r="D180" s="2" t="str">
        <v>Jordan Adams</v>
      </c>
      <c r="E180" s="2" t="str">
        <v>SG</v>
      </c>
      <c r="F180" s="2">
        <v>20</v>
      </c>
      <c r="G180" s="2" t="str">
        <v>MEM</v>
      </c>
      <c r="H180" s="2" t="str">
        <v>...</v>
      </c>
      <c r="I180" s="2">
        <v>16</v>
      </c>
      <c r="J180" s="2">
        <v>7</v>
      </c>
      <c r="K180" s="2">
        <v>14</v>
      </c>
      <c r="L180" s="2">
        <v>24</v>
      </c>
      <c r="M180" s="2">
        <v>94</v>
      </c>
      <c r="P180" s="10"/>
    </row>
    <row r="181" spans="2:16" x14ac:dyDescent="0.3">
      <c r="B181" s="9"/>
      <c r="C181" s="2">
        <v>3</v>
      </c>
      <c r="D181" s="2" t="str">
        <v>Steven Adams</v>
      </c>
      <c r="E181" s="2" t="str">
        <v>C</v>
      </c>
      <c r="F181" s="2">
        <v>21</v>
      </c>
      <c r="G181" s="2" t="str">
        <v>OKC</v>
      </c>
      <c r="H181" s="2" t="str">
        <v>...</v>
      </c>
      <c r="I181" s="2">
        <v>38</v>
      </c>
      <c r="J181" s="2">
        <v>86</v>
      </c>
      <c r="K181" s="2">
        <v>99</v>
      </c>
      <c r="L181" s="2">
        <v>222</v>
      </c>
      <c r="M181" s="2">
        <v>537</v>
      </c>
      <c r="P181" s="10"/>
    </row>
    <row r="182" spans="2:16" x14ac:dyDescent="0.3">
      <c r="B182" s="9"/>
      <c r="C182" s="2">
        <v>4</v>
      </c>
      <c r="D182" s="2" t="str">
        <v>Jeff Adrien</v>
      </c>
      <c r="E182" s="2" t="str">
        <v>PF</v>
      </c>
      <c r="F182" s="2">
        <v>28</v>
      </c>
      <c r="G182" s="2" t="str">
        <v>MIN</v>
      </c>
      <c r="H182" s="2" t="str">
        <v>...</v>
      </c>
      <c r="I182" s="2">
        <v>4</v>
      </c>
      <c r="J182" s="2">
        <v>9</v>
      </c>
      <c r="K182" s="2">
        <v>9</v>
      </c>
      <c r="L182" s="2">
        <v>30</v>
      </c>
      <c r="M182" s="2">
        <v>60</v>
      </c>
      <c r="P182" s="10"/>
    </row>
    <row r="183" spans="2:16" x14ac:dyDescent="0.3">
      <c r="B183" s="9"/>
      <c r="C183" s="2">
        <v>5</v>
      </c>
      <c r="D183" s="2" t="str">
        <v>Arron Afflalo</v>
      </c>
      <c r="E183" s="2" t="str">
        <v>SG</v>
      </c>
      <c r="F183" s="2">
        <v>29</v>
      </c>
      <c r="G183" s="2" t="str">
        <v>TOT</v>
      </c>
      <c r="H183" s="2" t="str">
        <v>...</v>
      </c>
      <c r="I183" s="2">
        <v>41</v>
      </c>
      <c r="J183" s="2">
        <v>7</v>
      </c>
      <c r="K183" s="2">
        <v>116</v>
      </c>
      <c r="L183" s="2">
        <v>167</v>
      </c>
      <c r="M183" s="2">
        <v>1035</v>
      </c>
      <c r="P183" s="10"/>
    </row>
    <row r="184" spans="2:16" x14ac:dyDescent="0.3">
      <c r="B184" s="9"/>
      <c r="C184" s="2" t="str">
        <v>...</v>
      </c>
      <c r="D184" s="2" t="str">
        <v>...</v>
      </c>
      <c r="E184" s="2" t="str">
        <v>...</v>
      </c>
      <c r="F184" s="2" t="str">
        <v>...</v>
      </c>
      <c r="G184" s="2" t="str">
        <v>...</v>
      </c>
      <c r="H184" s="2" t="str">
        <v>...</v>
      </c>
      <c r="I184" s="2" t="str">
        <v>...</v>
      </c>
      <c r="J184" s="2" t="str">
        <v>...</v>
      </c>
      <c r="K184" s="2" t="str">
        <v>...</v>
      </c>
      <c r="L184" s="2" t="str">
        <v>...</v>
      </c>
      <c r="M184" s="2" t="str">
        <v>...</v>
      </c>
      <c r="P184" s="10"/>
    </row>
    <row r="185" spans="2:16" x14ac:dyDescent="0.3">
      <c r="B185" s="9"/>
      <c r="C185" s="2">
        <v>490</v>
      </c>
      <c r="D185" s="2" t="str">
        <v>Thaddeus Young</v>
      </c>
      <c r="E185" s="2" t="str">
        <v>PF</v>
      </c>
      <c r="F185" s="2">
        <v>26</v>
      </c>
      <c r="G185" s="2" t="str">
        <v>TOT</v>
      </c>
      <c r="H185" s="2" t="str">
        <v>...</v>
      </c>
      <c r="I185" s="2">
        <v>124</v>
      </c>
      <c r="J185" s="2">
        <v>25</v>
      </c>
      <c r="K185" s="2">
        <v>117</v>
      </c>
      <c r="L185" s="2">
        <v>171</v>
      </c>
      <c r="M185" s="2">
        <v>1071</v>
      </c>
      <c r="P185" s="10"/>
    </row>
    <row r="186" spans="2:16" x14ac:dyDescent="0.3">
      <c r="B186" s="9"/>
      <c r="C186" s="2">
        <v>490</v>
      </c>
      <c r="D186" s="2" t="str">
        <v>Thaddeus Young</v>
      </c>
      <c r="E186" s="2" t="str">
        <v>PF</v>
      </c>
      <c r="F186" s="2">
        <v>26</v>
      </c>
      <c r="G186" s="2" t="str">
        <v>MIN</v>
      </c>
      <c r="H186" s="2" t="str">
        <v>...</v>
      </c>
      <c r="I186" s="2">
        <v>86</v>
      </c>
      <c r="J186" s="2">
        <v>17</v>
      </c>
      <c r="K186" s="2">
        <v>75</v>
      </c>
      <c r="L186" s="2">
        <v>115</v>
      </c>
      <c r="M186" s="2">
        <v>685</v>
      </c>
      <c r="P186" s="10"/>
    </row>
    <row r="187" spans="2:16" x14ac:dyDescent="0.3">
      <c r="B187" s="9"/>
      <c r="C187" s="2">
        <v>490</v>
      </c>
      <c r="D187" s="2" t="str">
        <v>Thaddeus Young</v>
      </c>
      <c r="E187" s="2" t="str">
        <v>PF</v>
      </c>
      <c r="F187" s="2">
        <v>26</v>
      </c>
      <c r="G187" s="2" t="str">
        <v>BRK</v>
      </c>
      <c r="H187" s="2" t="str">
        <v>...</v>
      </c>
      <c r="I187" s="2">
        <v>38</v>
      </c>
      <c r="J187" s="2">
        <v>8</v>
      </c>
      <c r="K187" s="2">
        <v>42</v>
      </c>
      <c r="L187" s="2">
        <v>56</v>
      </c>
      <c r="M187" s="2">
        <v>386</v>
      </c>
      <c r="P187" s="10"/>
    </row>
    <row r="188" spans="2:16" x14ac:dyDescent="0.3">
      <c r="B188" s="9"/>
      <c r="C188" s="2">
        <v>491</v>
      </c>
      <c r="D188" s="2" t="str">
        <v>Cody Zeller</v>
      </c>
      <c r="E188" s="2" t="str">
        <v>C</v>
      </c>
      <c r="F188" s="2">
        <v>22</v>
      </c>
      <c r="G188" s="2" t="str">
        <v>CHO</v>
      </c>
      <c r="H188" s="2" t="str">
        <v>...</v>
      </c>
      <c r="I188" s="2">
        <v>34</v>
      </c>
      <c r="J188" s="2">
        <v>49</v>
      </c>
      <c r="K188" s="2">
        <v>62</v>
      </c>
      <c r="L188" s="2">
        <v>156</v>
      </c>
      <c r="M188" s="2">
        <v>472</v>
      </c>
      <c r="P188" s="10"/>
    </row>
    <row r="189" spans="2:16" ht="15" thickBot="1" x14ac:dyDescent="0.35">
      <c r="B189" s="11"/>
      <c r="C189" s="12">
        <v>492</v>
      </c>
      <c r="D189" s="12" t="str">
        <v>Tyler Zeller</v>
      </c>
      <c r="E189" s="12" t="str">
        <v>C</v>
      </c>
      <c r="F189" s="12">
        <v>25</v>
      </c>
      <c r="G189" s="12" t="str">
        <v>BOS</v>
      </c>
      <c r="H189" s="12" t="str">
        <v>...</v>
      </c>
      <c r="I189" s="12">
        <v>18</v>
      </c>
      <c r="J189" s="12">
        <v>52</v>
      </c>
      <c r="K189" s="12">
        <v>76</v>
      </c>
      <c r="L189" s="12">
        <v>205</v>
      </c>
      <c r="M189" s="12">
        <v>833</v>
      </c>
      <c r="N189" s="12"/>
      <c r="O189" s="12"/>
      <c r="P189" s="13"/>
    </row>
    <row r="190" spans="2:16" ht="15" thickBot="1" x14ac:dyDescent="0.35"/>
    <row r="191" spans="2:16" x14ac:dyDescent="0.3">
      <c r="B191" s="17" t="e" cm="1" vm="21">
        <f t="array" ref="B191">_xlfn._xlws.PY(25,1)</f>
        <v>#VALUE!</v>
      </c>
      <c r="C191" s="7" t="str" cm="1">
        <f t="array" ref="C191:M196">_FV(B191,"arrayPreview")</f>
        <v>Rk</v>
      </c>
      <c r="D191" s="7" t="str">
        <v>Player</v>
      </c>
      <c r="E191" s="7" t="str">
        <v>Pos</v>
      </c>
      <c r="F191" s="7" t="str">
        <v>Age</v>
      </c>
      <c r="G191" s="7" t="str">
        <v>Tm</v>
      </c>
      <c r="H191" s="7" t="str">
        <v>...</v>
      </c>
      <c r="I191" s="7" t="str">
        <v>STL</v>
      </c>
      <c r="J191" s="7" t="str">
        <v>BLK</v>
      </c>
      <c r="K191" s="7" t="str">
        <v>TOV</v>
      </c>
      <c r="L191" s="7" t="str">
        <v>PF</v>
      </c>
      <c r="M191" s="7" t="str">
        <v>PTS</v>
      </c>
      <c r="N191" s="7"/>
      <c r="O191" s="7"/>
      <c r="P191" s="8"/>
    </row>
    <row r="192" spans="2:16" x14ac:dyDescent="0.3">
      <c r="B192" s="9"/>
      <c r="C192" s="2">
        <v>1</v>
      </c>
      <c r="D192" s="2" t="str">
        <v>Quincy Acy</v>
      </c>
      <c r="E192" s="2" t="str">
        <v>PF</v>
      </c>
      <c r="F192" s="2">
        <v>24</v>
      </c>
      <c r="G192" s="2" t="str">
        <v>NYK</v>
      </c>
      <c r="H192" s="2" t="str">
        <v>...</v>
      </c>
      <c r="I192" s="2">
        <v>27</v>
      </c>
      <c r="J192" s="2">
        <v>22</v>
      </c>
      <c r="K192" s="2">
        <v>60</v>
      </c>
      <c r="L192" s="2">
        <v>147</v>
      </c>
      <c r="M192" s="2">
        <v>398</v>
      </c>
      <c r="P192" s="10"/>
    </row>
    <row r="193" spans="2:16" x14ac:dyDescent="0.3">
      <c r="B193" s="9"/>
      <c r="C193" s="2">
        <v>2</v>
      </c>
      <c r="D193" s="2" t="str">
        <v>Jordan Adams</v>
      </c>
      <c r="E193" s="2" t="str">
        <v>SG</v>
      </c>
      <c r="F193" s="2">
        <v>20</v>
      </c>
      <c r="G193" s="2" t="str">
        <v>MEM</v>
      </c>
      <c r="H193" s="2" t="str">
        <v>...</v>
      </c>
      <c r="I193" s="2">
        <v>16</v>
      </c>
      <c r="J193" s="2">
        <v>7</v>
      </c>
      <c r="K193" s="2">
        <v>14</v>
      </c>
      <c r="L193" s="2">
        <v>24</v>
      </c>
      <c r="M193" s="2">
        <v>94</v>
      </c>
      <c r="P193" s="10"/>
    </row>
    <row r="194" spans="2:16" x14ac:dyDescent="0.3">
      <c r="B194" s="9"/>
      <c r="C194" s="2">
        <v>3</v>
      </c>
      <c r="D194" s="2" t="str">
        <v>Steven Adams</v>
      </c>
      <c r="E194" s="2" t="str">
        <v>C</v>
      </c>
      <c r="F194" s="2">
        <v>21</v>
      </c>
      <c r="G194" s="2" t="str">
        <v>OKC</v>
      </c>
      <c r="H194" s="2" t="str">
        <v>...</v>
      </c>
      <c r="I194" s="2">
        <v>38</v>
      </c>
      <c r="J194" s="2">
        <v>86</v>
      </c>
      <c r="K194" s="2">
        <v>99</v>
      </c>
      <c r="L194" s="2">
        <v>222</v>
      </c>
      <c r="M194" s="2">
        <v>537</v>
      </c>
      <c r="P194" s="10"/>
    </row>
    <row r="195" spans="2:16" x14ac:dyDescent="0.3">
      <c r="B195" s="9"/>
      <c r="C195" s="2">
        <v>4</v>
      </c>
      <c r="D195" s="2" t="str">
        <v>Jeff Adrien</v>
      </c>
      <c r="E195" s="2" t="str">
        <v>PF</v>
      </c>
      <c r="F195" s="2">
        <v>28</v>
      </c>
      <c r="G195" s="2" t="str">
        <v>MIN</v>
      </c>
      <c r="H195" s="2" t="str">
        <v>...</v>
      </c>
      <c r="I195" s="2">
        <v>4</v>
      </c>
      <c r="J195" s="2">
        <v>9</v>
      </c>
      <c r="K195" s="2">
        <v>9</v>
      </c>
      <c r="L195" s="2">
        <v>30</v>
      </c>
      <c r="M195" s="2">
        <v>60</v>
      </c>
      <c r="P195" s="10"/>
    </row>
    <row r="196" spans="2:16" ht="15" thickBot="1" x14ac:dyDescent="0.35">
      <c r="B196" s="11"/>
      <c r="C196" s="12">
        <v>5</v>
      </c>
      <c r="D196" s="12" t="str">
        <v>Arron Afflalo</v>
      </c>
      <c r="E196" s="12" t="str">
        <v>SG</v>
      </c>
      <c r="F196" s="12">
        <v>29</v>
      </c>
      <c r="G196" s="12" t="str">
        <v>TOT</v>
      </c>
      <c r="H196" s="12" t="str">
        <v>...</v>
      </c>
      <c r="I196" s="12">
        <v>41</v>
      </c>
      <c r="J196" s="12">
        <v>7</v>
      </c>
      <c r="K196" s="12">
        <v>116</v>
      </c>
      <c r="L196" s="12">
        <v>167</v>
      </c>
      <c r="M196" s="12">
        <v>1035</v>
      </c>
      <c r="N196" s="12"/>
      <c r="O196" s="12"/>
      <c r="P196" s="13"/>
    </row>
    <row r="197" spans="2:16" ht="15" thickBot="1" x14ac:dyDescent="0.35"/>
    <row r="198" spans="2:16" x14ac:dyDescent="0.3">
      <c r="B198" s="17" t="e" cm="1" vm="22">
        <f t="array" ref="B198">_xlfn._xlws.PY(26,1)</f>
        <v>#VALUE!</v>
      </c>
      <c r="C198" s="7" t="str" cm="1">
        <f t="array" ref="C198:M203">_FV(B198,"arrayPreview")</f>
        <v>Rk</v>
      </c>
      <c r="D198" s="7" t="str">
        <v>Player</v>
      </c>
      <c r="E198" s="7" t="str">
        <v>Pos</v>
      </c>
      <c r="F198" s="7" t="str">
        <v>Age</v>
      </c>
      <c r="G198" s="7" t="str">
        <v>Tm</v>
      </c>
      <c r="H198" s="7" t="str">
        <v>...</v>
      </c>
      <c r="I198" s="7" t="str">
        <v>STL</v>
      </c>
      <c r="J198" s="7" t="str">
        <v>BLK</v>
      </c>
      <c r="K198" s="7" t="str">
        <v>TOV</v>
      </c>
      <c r="L198" s="7" t="str">
        <v>PF</v>
      </c>
      <c r="M198" s="7" t="str">
        <v>PTS</v>
      </c>
      <c r="N198" s="7"/>
      <c r="O198" s="7"/>
      <c r="P198" s="8"/>
    </row>
    <row r="199" spans="2:16" x14ac:dyDescent="0.3">
      <c r="B199" s="9"/>
      <c r="C199" s="2">
        <v>490</v>
      </c>
      <c r="D199" s="2" t="str">
        <v>Thaddeus Young</v>
      </c>
      <c r="E199" s="2" t="str">
        <v>PF</v>
      </c>
      <c r="F199" s="2">
        <v>26</v>
      </c>
      <c r="G199" s="2" t="str">
        <v>TOT</v>
      </c>
      <c r="H199" s="2" t="str">
        <v>...</v>
      </c>
      <c r="I199" s="2">
        <v>124</v>
      </c>
      <c r="J199" s="2">
        <v>25</v>
      </c>
      <c r="K199" s="2">
        <v>117</v>
      </c>
      <c r="L199" s="2">
        <v>171</v>
      </c>
      <c r="M199" s="2">
        <v>1071</v>
      </c>
      <c r="P199" s="10"/>
    </row>
    <row r="200" spans="2:16" x14ac:dyDescent="0.3">
      <c r="B200" s="9"/>
      <c r="C200" s="2">
        <v>490</v>
      </c>
      <c r="D200" s="2" t="str">
        <v>Thaddeus Young</v>
      </c>
      <c r="E200" s="2" t="str">
        <v>PF</v>
      </c>
      <c r="F200" s="2">
        <v>26</v>
      </c>
      <c r="G200" s="2" t="str">
        <v>MIN</v>
      </c>
      <c r="H200" s="2" t="str">
        <v>...</v>
      </c>
      <c r="I200" s="2">
        <v>86</v>
      </c>
      <c r="J200" s="2">
        <v>17</v>
      </c>
      <c r="K200" s="2">
        <v>75</v>
      </c>
      <c r="L200" s="2">
        <v>115</v>
      </c>
      <c r="M200" s="2">
        <v>685</v>
      </c>
      <c r="P200" s="10"/>
    </row>
    <row r="201" spans="2:16" x14ac:dyDescent="0.3">
      <c r="B201" s="9"/>
      <c r="C201" s="2">
        <v>490</v>
      </c>
      <c r="D201" s="2" t="str">
        <v>Thaddeus Young</v>
      </c>
      <c r="E201" s="2" t="str">
        <v>PF</v>
      </c>
      <c r="F201" s="2">
        <v>26</v>
      </c>
      <c r="G201" s="2" t="str">
        <v>BRK</v>
      </c>
      <c r="H201" s="2" t="str">
        <v>...</v>
      </c>
      <c r="I201" s="2">
        <v>38</v>
      </c>
      <c r="J201" s="2">
        <v>8</v>
      </c>
      <c r="K201" s="2">
        <v>42</v>
      </c>
      <c r="L201" s="2">
        <v>56</v>
      </c>
      <c r="M201" s="2">
        <v>386</v>
      </c>
      <c r="P201" s="10"/>
    </row>
    <row r="202" spans="2:16" x14ac:dyDescent="0.3">
      <c r="B202" s="9"/>
      <c r="C202" s="2">
        <v>491</v>
      </c>
      <c r="D202" s="2" t="str">
        <v>Cody Zeller</v>
      </c>
      <c r="E202" s="2" t="str">
        <v>C</v>
      </c>
      <c r="F202" s="2">
        <v>22</v>
      </c>
      <c r="G202" s="2" t="str">
        <v>CHO</v>
      </c>
      <c r="H202" s="2" t="str">
        <v>...</v>
      </c>
      <c r="I202" s="2">
        <v>34</v>
      </c>
      <c r="J202" s="2">
        <v>49</v>
      </c>
      <c r="K202" s="2">
        <v>62</v>
      </c>
      <c r="L202" s="2">
        <v>156</v>
      </c>
      <c r="M202" s="2">
        <v>472</v>
      </c>
      <c r="P202" s="10"/>
    </row>
    <row r="203" spans="2:16" ht="15" thickBot="1" x14ac:dyDescent="0.35">
      <c r="B203" s="11"/>
      <c r="C203" s="12">
        <v>492</v>
      </c>
      <c r="D203" s="12" t="str">
        <v>Tyler Zeller</v>
      </c>
      <c r="E203" s="12" t="str">
        <v>C</v>
      </c>
      <c r="F203" s="12">
        <v>25</v>
      </c>
      <c r="G203" s="12" t="str">
        <v>BOS</v>
      </c>
      <c r="H203" s="12" t="str">
        <v>...</v>
      </c>
      <c r="I203" s="12">
        <v>18</v>
      </c>
      <c r="J203" s="12">
        <v>52</v>
      </c>
      <c r="K203" s="12">
        <v>76</v>
      </c>
      <c r="L203" s="12">
        <v>205</v>
      </c>
      <c r="M203" s="12">
        <v>833</v>
      </c>
      <c r="N203" s="12"/>
      <c r="O203" s="12"/>
      <c r="P203" s="13"/>
    </row>
    <row r="204" spans="2:16" ht="15" thickBot="1" x14ac:dyDescent="0.35"/>
    <row r="205" spans="2:16" ht="15" thickBot="1" x14ac:dyDescent="0.35">
      <c r="B205" s="14" t="e" cm="1" vm="23">
        <f t="array" ref="B205">_xlfn._xlws.PY(27,1)</f>
        <v>#VALUE!</v>
      </c>
      <c r="C205" s="15" t="str" cm="1">
        <f t="array" ref="C205">_xlfn._DF_Python_str(B205)</f>
        <v>Index(['Rk', 'Player', 'Pos', 'Age', 'Tm', 'G', 'GS', 'MP', 'FG', 'FGA', 'FG%',
       '3P', '3PA', '3P%', '2P', '2PA', '2P%', 'eFG%', 'FT', 'FTA', 'FT%',
       'ORB', 'DRB', 'TRB', 'AST', 'STL', 'BLK', 'TOV', 'PF', 'PTS'],
      dtype='object')</v>
      </c>
      <c r="D205" s="15"/>
      <c r="E205" s="15"/>
      <c r="F205" s="15"/>
      <c r="G205" s="15"/>
      <c r="H205" s="15"/>
      <c r="I205" s="15"/>
      <c r="J205" s="15"/>
      <c r="K205" s="15"/>
      <c r="L205" s="15"/>
      <c r="M205" s="15"/>
      <c r="N205" s="15"/>
      <c r="O205" s="15"/>
      <c r="P205" s="16"/>
    </row>
    <row r="206" spans="2:16" ht="15" thickBot="1" x14ac:dyDescent="0.35"/>
    <row r="207" spans="2:16" x14ac:dyDescent="0.3">
      <c r="B207" s="17" t="e" cm="1" vm="24">
        <f t="array" ref="B207">_xlfn._xlws.PY(28,1)</f>
        <v>#VALUE!</v>
      </c>
      <c r="C207" s="7" t="str" cm="1">
        <f t="array" ref="C207:D217">_FV(B207,"arrayPreview")</f>
        <v>Rk</v>
      </c>
      <c r="D207" s="7" t="str">
        <v>&lt;class 'numpy.dtypes.ObjectDType'&gt;</v>
      </c>
      <c r="E207" s="7"/>
      <c r="F207" s="7"/>
      <c r="G207" s="7"/>
      <c r="H207" s="7"/>
      <c r="I207" s="7"/>
      <c r="J207" s="7"/>
      <c r="K207" s="7"/>
      <c r="L207" s="7"/>
      <c r="M207" s="7"/>
      <c r="N207" s="7"/>
      <c r="O207" s="7"/>
      <c r="P207" s="8"/>
    </row>
    <row r="208" spans="2:16" x14ac:dyDescent="0.3">
      <c r="B208" s="9"/>
      <c r="C208" s="2" t="str">
        <v>Player</v>
      </c>
      <c r="D208" s="2" t="str">
        <v>&lt;class 'numpy.dtypes.ObjectDType'&gt;</v>
      </c>
      <c r="P208" s="10"/>
    </row>
    <row r="209" spans="2:16" x14ac:dyDescent="0.3">
      <c r="B209" s="9"/>
      <c r="C209" s="2" t="str">
        <v>Pos</v>
      </c>
      <c r="D209" s="2" t="str">
        <v>&lt;class 'numpy.dtypes.ObjectDType'&gt;</v>
      </c>
      <c r="P209" s="10"/>
    </row>
    <row r="210" spans="2:16" x14ac:dyDescent="0.3">
      <c r="B210" s="9"/>
      <c r="C210" s="2" t="str">
        <v>Age</v>
      </c>
      <c r="D210" s="2" t="str">
        <v>&lt;class 'numpy.dtypes.ObjectDType'&gt;</v>
      </c>
      <c r="P210" s="10"/>
    </row>
    <row r="211" spans="2:16" x14ac:dyDescent="0.3">
      <c r="B211" s="9"/>
      <c r="C211" s="2" t="str">
        <v>Tm</v>
      </c>
      <c r="D211" s="2" t="str">
        <v>&lt;class 'numpy.dtypes.ObjectDType'&gt;</v>
      </c>
      <c r="P211" s="10"/>
    </row>
    <row r="212" spans="2:16" x14ac:dyDescent="0.3">
      <c r="B212" s="9"/>
      <c r="C212" s="2" t="str">
        <v>...</v>
      </c>
      <c r="D212" s="2" t="str">
        <v>...</v>
      </c>
      <c r="P212" s="10"/>
    </row>
    <row r="213" spans="2:16" x14ac:dyDescent="0.3">
      <c r="B213" s="9"/>
      <c r="C213" s="2" t="str">
        <v>STL</v>
      </c>
      <c r="D213" s="2" t="str">
        <v>&lt;class 'numpy.dtypes.ObjectDType'&gt;</v>
      </c>
      <c r="P213" s="10"/>
    </row>
    <row r="214" spans="2:16" x14ac:dyDescent="0.3">
      <c r="B214" s="9"/>
      <c r="C214" s="2" t="str">
        <v>BLK</v>
      </c>
      <c r="D214" s="2" t="str">
        <v>&lt;class 'numpy.dtypes.ObjectDType'&gt;</v>
      </c>
      <c r="P214" s="10"/>
    </row>
    <row r="215" spans="2:16" x14ac:dyDescent="0.3">
      <c r="B215" s="9"/>
      <c r="C215" s="2" t="str">
        <v>TOV</v>
      </c>
      <c r="D215" s="2" t="str">
        <v>&lt;class 'numpy.dtypes.ObjectDType'&gt;</v>
      </c>
      <c r="P215" s="10"/>
    </row>
    <row r="216" spans="2:16" x14ac:dyDescent="0.3">
      <c r="B216" s="9"/>
      <c r="C216" s="2" t="str">
        <v>PF</v>
      </c>
      <c r="D216" s="2" t="str">
        <v>&lt;class 'numpy.dtypes.ObjectDType'&gt;</v>
      </c>
      <c r="P216" s="10"/>
    </row>
    <row r="217" spans="2:16" ht="15" thickBot="1" x14ac:dyDescent="0.35">
      <c r="B217" s="11"/>
      <c r="C217" s="12" t="str">
        <v>PTS</v>
      </c>
      <c r="D217" s="12" t="str">
        <v>&lt;class 'numpy.dtypes.ObjectDType'&gt;</v>
      </c>
      <c r="E217" s="12"/>
      <c r="F217" s="12"/>
      <c r="G217" s="12"/>
      <c r="H217" s="12"/>
      <c r="I217" s="12"/>
      <c r="J217" s="12"/>
      <c r="K217" s="12"/>
      <c r="L217" s="12"/>
      <c r="M217" s="12"/>
      <c r="N217" s="12"/>
      <c r="O217" s="12"/>
      <c r="P217" s="13"/>
    </row>
    <row r="218" spans="2:16" ht="15" thickBot="1" x14ac:dyDescent="0.35"/>
    <row r="219" spans="2:16" x14ac:dyDescent="0.3">
      <c r="B219" s="17" t="e" cm="1" vm="25">
        <f t="array" ref="B219">_xlfn._xlws.PY(29,1)</f>
        <v>#VALUE!</v>
      </c>
      <c r="C219" s="7" t="str" cm="1">
        <f t="array" ref="C219:E230">_FV(B219,"arrayPreview")</f>
        <v>Pos</v>
      </c>
      <c r="D219" s="7" t="str">
        <v>Age</v>
      </c>
      <c r="E219" s="7" t="str">
        <v>Tm</v>
      </c>
      <c r="F219" s="7"/>
      <c r="G219" s="7"/>
      <c r="H219" s="7"/>
      <c r="I219" s="7"/>
      <c r="J219" s="7"/>
      <c r="K219" s="7"/>
      <c r="L219" s="7"/>
      <c r="M219" s="7"/>
      <c r="N219" s="7"/>
      <c r="O219" s="7"/>
      <c r="P219" s="8"/>
    </row>
    <row r="220" spans="2:16" x14ac:dyDescent="0.3">
      <c r="B220" s="9"/>
      <c r="C220" s="2" t="str">
        <v>PF</v>
      </c>
      <c r="D220" s="18">
        <v>24</v>
      </c>
      <c r="E220" s="2" t="str">
        <v>NYK</v>
      </c>
      <c r="P220" s="10"/>
    </row>
    <row r="221" spans="2:16" x14ac:dyDescent="0.3">
      <c r="B221" s="9"/>
      <c r="C221" s="2" t="str">
        <v>SG</v>
      </c>
      <c r="D221" s="18">
        <v>20</v>
      </c>
      <c r="E221" s="2" t="str">
        <v>MEM</v>
      </c>
      <c r="P221" s="10"/>
    </row>
    <row r="222" spans="2:16" x14ac:dyDescent="0.3">
      <c r="B222" s="9"/>
      <c r="C222" s="2" t="str">
        <v>C</v>
      </c>
      <c r="D222" s="18">
        <v>21</v>
      </c>
      <c r="E222" s="2" t="str">
        <v>OKC</v>
      </c>
      <c r="P222" s="10"/>
    </row>
    <row r="223" spans="2:16" x14ac:dyDescent="0.3">
      <c r="B223" s="9"/>
      <c r="C223" s="2" t="str">
        <v>PF</v>
      </c>
      <c r="D223" s="18">
        <v>28</v>
      </c>
      <c r="E223" s="2" t="str">
        <v>MIN</v>
      </c>
      <c r="P223" s="10"/>
    </row>
    <row r="224" spans="2:16" x14ac:dyDescent="0.3">
      <c r="B224" s="9"/>
      <c r="C224" s="2" t="str">
        <v>SG</v>
      </c>
      <c r="D224" s="18">
        <v>29</v>
      </c>
      <c r="E224" s="2" t="str">
        <v>TOT</v>
      </c>
      <c r="P224" s="10"/>
    </row>
    <row r="225" spans="2:16" x14ac:dyDescent="0.3">
      <c r="B225" s="9"/>
      <c r="C225" s="2" t="str">
        <v>...</v>
      </c>
      <c r="D225" s="18" t="str">
        <v>...</v>
      </c>
      <c r="E225" s="2" t="str">
        <v>...</v>
      </c>
      <c r="P225" s="10"/>
    </row>
    <row r="226" spans="2:16" x14ac:dyDescent="0.3">
      <c r="B226" s="9"/>
      <c r="C226" s="2" t="str">
        <v>PF</v>
      </c>
      <c r="D226" s="18">
        <v>26</v>
      </c>
      <c r="E226" s="2" t="str">
        <v>TOT</v>
      </c>
      <c r="P226" s="10"/>
    </row>
    <row r="227" spans="2:16" x14ac:dyDescent="0.3">
      <c r="B227" s="9"/>
      <c r="C227" s="2" t="str">
        <v>PF</v>
      </c>
      <c r="D227" s="18">
        <v>26</v>
      </c>
      <c r="E227" s="2" t="str">
        <v>MIN</v>
      </c>
      <c r="P227" s="10"/>
    </row>
    <row r="228" spans="2:16" x14ac:dyDescent="0.3">
      <c r="B228" s="9"/>
      <c r="C228" s="2" t="str">
        <v>PF</v>
      </c>
      <c r="D228" s="18">
        <v>26</v>
      </c>
      <c r="E228" s="2" t="str">
        <v>BRK</v>
      </c>
      <c r="P228" s="10"/>
    </row>
    <row r="229" spans="2:16" x14ac:dyDescent="0.3">
      <c r="B229" s="9"/>
      <c r="C229" s="2" t="str">
        <v>C</v>
      </c>
      <c r="D229" s="18">
        <v>22</v>
      </c>
      <c r="E229" s="2" t="str">
        <v>CHO</v>
      </c>
      <c r="P229" s="10"/>
    </row>
    <row r="230" spans="2:16" ht="15" thickBot="1" x14ac:dyDescent="0.35">
      <c r="B230" s="11"/>
      <c r="C230" s="12" t="str">
        <v>C</v>
      </c>
      <c r="D230" s="19">
        <v>25</v>
      </c>
      <c r="E230" s="12" t="str">
        <v>BOS</v>
      </c>
      <c r="F230" s="12"/>
      <c r="G230" s="12"/>
      <c r="H230" s="12"/>
      <c r="I230" s="12"/>
      <c r="J230" s="12"/>
      <c r="K230" s="12"/>
      <c r="L230" s="12"/>
      <c r="M230" s="12"/>
      <c r="N230" s="12"/>
      <c r="O230" s="12"/>
      <c r="P230" s="13"/>
    </row>
    <row r="232" spans="2:16" x14ac:dyDescent="0.3">
      <c r="B232" s="2" t="e" cm="1" vm="26">
        <f t="array" ref="B232">_xlfn._xlws.PY(30,1)</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1C802-8A08-486A-A1CB-8A1BA1DC0B80}">
  <sheetPr codeName="Sheet5"/>
  <dimension ref="A1:M432"/>
  <sheetViews>
    <sheetView showGridLines="0" workbookViewId="0">
      <pane ySplit="2" topLeftCell="A418" activePane="bottomLeft" state="frozen"/>
      <selection pane="bottomLeft" activeCell="A435" sqref="A435"/>
    </sheetView>
  </sheetViews>
  <sheetFormatPr defaultRowHeight="14.4" x14ac:dyDescent="0.3"/>
  <cols>
    <col min="1" max="1" width="15.5546875" customWidth="1"/>
    <col min="2" max="2" width="20.44140625" customWidth="1"/>
    <col min="3" max="3" width="10.6640625" customWidth="1"/>
    <col min="5" max="5" width="11.88671875" customWidth="1"/>
    <col min="6" max="6" width="8.88671875" customWidth="1"/>
    <col min="7" max="7" width="7.5546875" customWidth="1"/>
    <col min="11" max="11" width="10.77734375" customWidth="1"/>
  </cols>
  <sheetData>
    <row r="1" spans="1:12" s="29" customFormat="1" ht="18" x14ac:dyDescent="0.35">
      <c r="A1" s="28" t="s">
        <v>2491</v>
      </c>
    </row>
    <row r="2" spans="1:12" s="29" customFormat="1" ht="18" x14ac:dyDescent="0.35">
      <c r="A2" s="28" t="s">
        <v>2492</v>
      </c>
      <c r="D2" s="30" t="s">
        <v>2498</v>
      </c>
    </row>
    <row r="4" spans="1:12" x14ac:dyDescent="0.3">
      <c r="A4" s="21" t="s">
        <v>2493</v>
      </c>
      <c r="B4" s="21"/>
    </row>
    <row r="5" spans="1:12" x14ac:dyDescent="0.3">
      <c r="A5" s="20" t="e" cm="1" vm="14">
        <f t="array" ref="A5">_xlfn._xlws.PY(0,1,Titanic_Dataset[#All])</f>
        <v>#VALUE!</v>
      </c>
      <c r="B5" t="str" cm="1">
        <f t="array" ref="B5:L16">_FV(A5,"arrayPreview")</f>
        <v>PassengerId</v>
      </c>
      <c r="C5" t="str">
        <v>Survived</v>
      </c>
      <c r="D5" t="str">
        <v>Pclass</v>
      </c>
      <c r="E5" t="str">
        <v>Name</v>
      </c>
      <c r="F5" t="str">
        <v>Sex</v>
      </c>
      <c r="G5" t="str">
        <v>...</v>
      </c>
      <c r="H5" t="str">
        <v>Parch</v>
      </c>
      <c r="I5" t="str">
        <v>Ticket</v>
      </c>
      <c r="J5" t="str">
        <v>Fare</v>
      </c>
      <c r="K5" t="str">
        <v>Cabin</v>
      </c>
      <c r="L5" t="str">
        <v>Embarked</v>
      </c>
    </row>
    <row r="6" spans="1:12" x14ac:dyDescent="0.3">
      <c r="B6">
        <v>1</v>
      </c>
      <c r="C6">
        <v>0</v>
      </c>
      <c r="D6">
        <v>3</v>
      </c>
      <c r="E6" t="str">
        <v>Braund, Mr. Owen Harris</v>
      </c>
      <c r="F6" t="str">
        <v>male</v>
      </c>
      <c r="G6" t="str">
        <v>...</v>
      </c>
      <c r="H6">
        <v>0</v>
      </c>
      <c r="I6" t="str">
        <v>A/5 21171</v>
      </c>
      <c r="J6">
        <v>7.25</v>
      </c>
      <c r="K6" t="str">
        <v/>
      </c>
      <c r="L6" t="str">
        <v>S</v>
      </c>
    </row>
    <row r="7" spans="1:12" x14ac:dyDescent="0.3">
      <c r="B7">
        <v>2</v>
      </c>
      <c r="C7">
        <v>1</v>
      </c>
      <c r="D7">
        <v>1</v>
      </c>
      <c r="E7" t="str">
        <v>Cumings, Mrs. John Bradley (Florence Briggs Thayer)</v>
      </c>
      <c r="F7" t="str">
        <v>female</v>
      </c>
      <c r="G7" t="str">
        <v>...</v>
      </c>
      <c r="H7">
        <v>0</v>
      </c>
      <c r="I7" t="str">
        <v>PC 17599</v>
      </c>
      <c r="J7">
        <v>71.283299999999997</v>
      </c>
      <c r="K7" t="str">
        <v>C85</v>
      </c>
      <c r="L7" t="str">
        <v>C</v>
      </c>
    </row>
    <row r="8" spans="1:12" x14ac:dyDescent="0.3">
      <c r="B8">
        <v>3</v>
      </c>
      <c r="C8">
        <v>1</v>
      </c>
      <c r="D8">
        <v>3</v>
      </c>
      <c r="E8" t="str">
        <v>Heikkinen, Miss. Laina</v>
      </c>
      <c r="F8" t="str">
        <v>female</v>
      </c>
      <c r="G8" t="str">
        <v>...</v>
      </c>
      <c r="H8">
        <v>0</v>
      </c>
      <c r="I8" t="str">
        <v>STON/O2. 3101282</v>
      </c>
      <c r="J8">
        <v>7.9249999999999998</v>
      </c>
      <c r="K8" t="str">
        <v/>
      </c>
      <c r="L8" t="str">
        <v>S</v>
      </c>
    </row>
    <row r="9" spans="1:12" x14ac:dyDescent="0.3">
      <c r="B9">
        <v>4</v>
      </c>
      <c r="C9">
        <v>1</v>
      </c>
      <c r="D9">
        <v>1</v>
      </c>
      <c r="E9" t="str">
        <v>Futrelle, Mrs. Jacques Heath (Lily May Peel)</v>
      </c>
      <c r="F9" t="str">
        <v>female</v>
      </c>
      <c r="G9" t="str">
        <v>...</v>
      </c>
      <c r="H9">
        <v>0</v>
      </c>
      <c r="I9" t="str">
        <v>113803</v>
      </c>
      <c r="J9">
        <v>53.1</v>
      </c>
      <c r="K9" t="str">
        <v>C123</v>
      </c>
      <c r="L9" t="str">
        <v>S</v>
      </c>
    </row>
    <row r="10" spans="1:12" x14ac:dyDescent="0.3">
      <c r="B10">
        <v>5</v>
      </c>
      <c r="C10">
        <v>0</v>
      </c>
      <c r="D10">
        <v>3</v>
      </c>
      <c r="E10" t="str">
        <v>Allen, Mr. William Henry</v>
      </c>
      <c r="F10" t="str">
        <v>male</v>
      </c>
      <c r="G10" t="str">
        <v>...</v>
      </c>
      <c r="H10">
        <v>0</v>
      </c>
      <c r="I10" t="str">
        <v>373450</v>
      </c>
      <c r="J10">
        <v>8.0500000000000007</v>
      </c>
      <c r="K10" t="str">
        <v/>
      </c>
      <c r="L10" t="str">
        <v>S</v>
      </c>
    </row>
    <row r="11" spans="1:12" x14ac:dyDescent="0.3">
      <c r="B11" t="str">
        <v>...</v>
      </c>
      <c r="C11" t="str">
        <v>...</v>
      </c>
      <c r="D11" t="str">
        <v>...</v>
      </c>
      <c r="E11" t="str">
        <v>...</v>
      </c>
      <c r="F11" t="str">
        <v>...</v>
      </c>
      <c r="G11" t="str">
        <v>...</v>
      </c>
      <c r="H11" t="str">
        <v>...</v>
      </c>
      <c r="I11" t="str">
        <v>...</v>
      </c>
      <c r="J11" t="str">
        <v>...</v>
      </c>
      <c r="K11" t="str">
        <v>...</v>
      </c>
      <c r="L11" t="str">
        <v>...</v>
      </c>
    </row>
    <row r="12" spans="1:12" x14ac:dyDescent="0.3">
      <c r="B12">
        <v>887</v>
      </c>
      <c r="C12">
        <v>0</v>
      </c>
      <c r="D12">
        <v>2</v>
      </c>
      <c r="E12" t="str">
        <v>Montvila, Rev. Juozas</v>
      </c>
      <c r="F12" t="str">
        <v>male</v>
      </c>
      <c r="G12" t="str">
        <v>...</v>
      </c>
      <c r="H12">
        <v>0</v>
      </c>
      <c r="I12" t="str">
        <v>211536</v>
      </c>
      <c r="J12">
        <v>13</v>
      </c>
      <c r="K12" t="str">
        <v/>
      </c>
      <c r="L12" t="str">
        <v>S</v>
      </c>
    </row>
    <row r="13" spans="1:12" x14ac:dyDescent="0.3">
      <c r="B13">
        <v>888</v>
      </c>
      <c r="C13">
        <v>1</v>
      </c>
      <c r="D13">
        <v>1</v>
      </c>
      <c r="E13" t="str">
        <v>Graham, Miss. Margaret Edith</v>
      </c>
      <c r="F13" t="str">
        <v>female</v>
      </c>
      <c r="G13" t="str">
        <v>...</v>
      </c>
      <c r="H13">
        <v>0</v>
      </c>
      <c r="I13" t="str">
        <v>112053</v>
      </c>
      <c r="J13">
        <v>30</v>
      </c>
      <c r="K13" t="str">
        <v>B42</v>
      </c>
      <c r="L13" t="str">
        <v>S</v>
      </c>
    </row>
    <row r="14" spans="1:12" x14ac:dyDescent="0.3">
      <c r="B14">
        <v>889</v>
      </c>
      <c r="C14">
        <v>0</v>
      </c>
      <c r="D14">
        <v>3</v>
      </c>
      <c r="E14" t="str">
        <v>Johnston, Miss. Catherine Helen "Carrie"</v>
      </c>
      <c r="F14" t="str">
        <v>female</v>
      </c>
      <c r="G14" t="str">
        <v>...</v>
      </c>
      <c r="H14">
        <v>2</v>
      </c>
      <c r="I14" t="str">
        <v>W./C. 6607</v>
      </c>
      <c r="J14">
        <v>23.45</v>
      </c>
      <c r="K14" t="str">
        <v/>
      </c>
      <c r="L14" t="str">
        <v>S</v>
      </c>
    </row>
    <row r="15" spans="1:12" x14ac:dyDescent="0.3">
      <c r="B15">
        <v>890</v>
      </c>
      <c r="C15">
        <v>1</v>
      </c>
      <c r="D15">
        <v>1</v>
      </c>
      <c r="E15" t="str">
        <v>Behr, Mr. Karl Howell</v>
      </c>
      <c r="F15" t="str">
        <v>male</v>
      </c>
      <c r="G15" t="str">
        <v>...</v>
      </c>
      <c r="H15">
        <v>0</v>
      </c>
      <c r="I15" t="str">
        <v>111369</v>
      </c>
      <c r="J15">
        <v>30</v>
      </c>
      <c r="K15" t="str">
        <v>C148</v>
      </c>
      <c r="L15" t="str">
        <v>C</v>
      </c>
    </row>
    <row r="16" spans="1:12" x14ac:dyDescent="0.3">
      <c r="B16">
        <v>891</v>
      </c>
      <c r="C16">
        <v>0</v>
      </c>
      <c r="D16">
        <v>3</v>
      </c>
      <c r="E16" t="str">
        <v>Dooley, Mr. Patrick</v>
      </c>
      <c r="F16" t="str">
        <v>male</v>
      </c>
      <c r="G16" t="str">
        <v>...</v>
      </c>
      <c r="H16">
        <v>0</v>
      </c>
      <c r="I16" t="str">
        <v>370376</v>
      </c>
      <c r="J16">
        <v>7.75</v>
      </c>
      <c r="K16" t="str">
        <v/>
      </c>
      <c r="L16" t="str">
        <v>Q</v>
      </c>
    </row>
    <row r="18" spans="1:12" x14ac:dyDescent="0.3">
      <c r="A18" s="22" t="s">
        <v>2494</v>
      </c>
    </row>
    <row r="19" spans="1:12" x14ac:dyDescent="0.3">
      <c r="A19" s="20" t="e" cm="1" vm="15">
        <f t="array" ref="A19">_xlfn._xlws.PY(1,1)</f>
        <v>#VALUE!</v>
      </c>
      <c r="B19" t="str" cm="1">
        <f t="array" ref="B19:L24">_FV(A19,"arrayPreview")</f>
        <v>PassengerId</v>
      </c>
      <c r="C19" t="str">
        <v>Survived</v>
      </c>
      <c r="D19" t="str">
        <v>Pclass</v>
      </c>
      <c r="E19" t="str">
        <v>Name</v>
      </c>
      <c r="F19" t="str">
        <v>Sex</v>
      </c>
      <c r="G19" t="str">
        <v>...</v>
      </c>
      <c r="H19" t="str">
        <v>Parch</v>
      </c>
      <c r="I19" t="str">
        <v>Ticket</v>
      </c>
      <c r="J19" t="str">
        <v>Fare</v>
      </c>
      <c r="K19" t="str">
        <v>Cabin</v>
      </c>
      <c r="L19" t="str">
        <v>Embarked</v>
      </c>
    </row>
    <row r="20" spans="1:12" x14ac:dyDescent="0.3">
      <c r="B20">
        <v>1</v>
      </c>
      <c r="C20">
        <v>0</v>
      </c>
      <c r="D20">
        <v>3</v>
      </c>
      <c r="E20" t="str">
        <v>Braund, Mr. Owen Harris</v>
      </c>
      <c r="F20" t="str">
        <v>male</v>
      </c>
      <c r="G20" t="str">
        <v>...</v>
      </c>
      <c r="H20">
        <v>0</v>
      </c>
      <c r="I20" t="str">
        <v>A/5 21171</v>
      </c>
      <c r="J20">
        <v>7.25</v>
      </c>
      <c r="K20" t="str">
        <v/>
      </c>
      <c r="L20" t="str">
        <v>S</v>
      </c>
    </row>
    <row r="21" spans="1:12" x14ac:dyDescent="0.3">
      <c r="B21">
        <v>2</v>
      </c>
      <c r="C21">
        <v>1</v>
      </c>
      <c r="D21">
        <v>1</v>
      </c>
      <c r="E21" t="str">
        <v>Cumings, Mrs. John Bradley (Florence Briggs Thayer)</v>
      </c>
      <c r="F21" t="str">
        <v>female</v>
      </c>
      <c r="G21" t="str">
        <v>...</v>
      </c>
      <c r="H21">
        <v>0</v>
      </c>
      <c r="I21" t="str">
        <v>PC 17599</v>
      </c>
      <c r="J21">
        <v>71.283299999999997</v>
      </c>
      <c r="K21" t="str">
        <v>C85</v>
      </c>
      <c r="L21" t="str">
        <v>C</v>
      </c>
    </row>
    <row r="22" spans="1:12" x14ac:dyDescent="0.3">
      <c r="B22">
        <v>3</v>
      </c>
      <c r="C22">
        <v>1</v>
      </c>
      <c r="D22">
        <v>3</v>
      </c>
      <c r="E22" t="str">
        <v>Heikkinen, Miss. Laina</v>
      </c>
      <c r="F22" t="str">
        <v>female</v>
      </c>
      <c r="G22" t="str">
        <v>...</v>
      </c>
      <c r="H22">
        <v>0</v>
      </c>
      <c r="I22" t="str">
        <v>STON/O2. 3101282</v>
      </c>
      <c r="J22">
        <v>7.9249999999999998</v>
      </c>
      <c r="K22" t="str">
        <v/>
      </c>
      <c r="L22" t="str">
        <v>S</v>
      </c>
    </row>
    <row r="23" spans="1:12" x14ac:dyDescent="0.3">
      <c r="B23">
        <v>4</v>
      </c>
      <c r="C23">
        <v>1</v>
      </c>
      <c r="D23">
        <v>1</v>
      </c>
      <c r="E23" t="str">
        <v>Futrelle, Mrs. Jacques Heath (Lily May Peel)</v>
      </c>
      <c r="F23" t="str">
        <v>female</v>
      </c>
      <c r="G23" t="str">
        <v>...</v>
      </c>
      <c r="H23">
        <v>0</v>
      </c>
      <c r="I23" t="str">
        <v>113803</v>
      </c>
      <c r="J23">
        <v>53.1</v>
      </c>
      <c r="K23" t="str">
        <v>C123</v>
      </c>
      <c r="L23" t="str">
        <v>S</v>
      </c>
    </row>
    <row r="24" spans="1:12" x14ac:dyDescent="0.3">
      <c r="B24">
        <v>5</v>
      </c>
      <c r="C24">
        <v>0</v>
      </c>
      <c r="D24">
        <v>3</v>
      </c>
      <c r="E24" t="str">
        <v>Allen, Mr. William Henry</v>
      </c>
      <c r="F24" t="str">
        <v>male</v>
      </c>
      <c r="G24" t="str">
        <v>...</v>
      </c>
      <c r="H24">
        <v>0</v>
      </c>
      <c r="I24" t="str">
        <v>373450</v>
      </c>
      <c r="J24">
        <v>8.0500000000000007</v>
      </c>
      <c r="K24" t="str">
        <v/>
      </c>
      <c r="L24" t="str">
        <v>S</v>
      </c>
    </row>
    <row r="26" spans="1:12" x14ac:dyDescent="0.3">
      <c r="A26" s="23" t="s">
        <v>2495</v>
      </c>
    </row>
    <row r="27" spans="1:12" x14ac:dyDescent="0.3">
      <c r="A27" s="20" t="e" cm="1" vm="4">
        <f t="array" ref="A27">_xlfn._xlws.PY(3,1)</f>
        <v>#VALUE!</v>
      </c>
      <c r="B27" t="str" cm="1">
        <f t="array" ref="B27">_xlfn._DF_Python_str(A27)</f>
        <v>&lt;class 'pandas.core.frame.DataFrame'&gt;</v>
      </c>
    </row>
    <row r="29" spans="1:12" x14ac:dyDescent="0.3">
      <c r="A29" s="24" t="s">
        <v>2496</v>
      </c>
    </row>
    <row r="30" spans="1:12" x14ac:dyDescent="0.3">
      <c r="A30" s="20" t="e" cm="1" vm="27">
        <f t="array" ref="A30">_xlfn._xlws.PY(12,1)</f>
        <v>#VALUE!</v>
      </c>
      <c r="B30" t="str" cm="1">
        <f t="array" ref="B30:C40">_FV(A30,"arrayPreview")</f>
        <v>PassengerId</v>
      </c>
      <c r="C30" t="str">
        <v>&lt;class 'numpy.dtypes.Int64DType'&gt;</v>
      </c>
    </row>
    <row r="31" spans="1:12" x14ac:dyDescent="0.3">
      <c r="B31" t="str">
        <v>Survived</v>
      </c>
      <c r="C31" t="str">
        <v>&lt;class 'numpy.dtypes.Int64DType'&gt;</v>
      </c>
    </row>
    <row r="32" spans="1:12" x14ac:dyDescent="0.3">
      <c r="B32" t="str">
        <v>Pclass</v>
      </c>
      <c r="C32" t="str">
        <v>&lt;class 'numpy.dtypes.Int64DType'&gt;</v>
      </c>
    </row>
    <row r="33" spans="1:9" x14ac:dyDescent="0.3">
      <c r="B33" t="str">
        <v>Name</v>
      </c>
      <c r="C33" t="str">
        <v>&lt;class 'numpy.dtypes.ObjectDType'&gt;</v>
      </c>
    </row>
    <row r="34" spans="1:9" x14ac:dyDescent="0.3">
      <c r="B34" t="str">
        <v>Sex</v>
      </c>
      <c r="C34" t="str">
        <v>&lt;class 'numpy.dtypes.ObjectDType'&gt;</v>
      </c>
    </row>
    <row r="35" spans="1:9" x14ac:dyDescent="0.3">
      <c r="B35" t="str">
        <v>...</v>
      </c>
      <c r="C35" t="str">
        <v>...</v>
      </c>
    </row>
    <row r="36" spans="1:9" x14ac:dyDescent="0.3">
      <c r="B36" t="str">
        <v>Parch</v>
      </c>
      <c r="C36" t="str">
        <v>&lt;class 'numpy.dtypes.Int64DType'&gt;</v>
      </c>
    </row>
    <row r="37" spans="1:9" x14ac:dyDescent="0.3">
      <c r="B37" t="str">
        <v>Ticket</v>
      </c>
      <c r="C37" t="str">
        <v>&lt;class 'numpy.dtypes.ObjectDType'&gt;</v>
      </c>
    </row>
    <row r="38" spans="1:9" x14ac:dyDescent="0.3">
      <c r="B38" t="str">
        <v>Fare</v>
      </c>
      <c r="C38" t="str">
        <v>&lt;class 'numpy.dtypes.Float64DType'&gt;</v>
      </c>
    </row>
    <row r="39" spans="1:9" x14ac:dyDescent="0.3">
      <c r="B39" t="str">
        <v>Cabin</v>
      </c>
      <c r="C39" t="str">
        <v>&lt;class 'numpy.dtypes.ObjectDType'&gt;</v>
      </c>
    </row>
    <row r="40" spans="1:9" x14ac:dyDescent="0.3">
      <c r="B40" t="str">
        <v>Embarked</v>
      </c>
      <c r="C40" t="str">
        <v>&lt;class 'numpy.dtypes.ObjectDType'&gt;</v>
      </c>
    </row>
    <row r="42" spans="1:9" x14ac:dyDescent="0.3">
      <c r="A42" s="25" t="s">
        <v>2497</v>
      </c>
    </row>
    <row r="43" spans="1:9" x14ac:dyDescent="0.3">
      <c r="A43" s="20" t="e" cm="1" vm="28">
        <f t="array" ref="A43">_xlfn._xlws.PY(31,1)</f>
        <v>#VALUE!</v>
      </c>
      <c r="B43" t="str" cm="1">
        <f t="array" ref="B43:I51">_FV(A43,"arrayPreview")</f>
        <v/>
      </c>
      <c r="C43" t="str">
        <v>PassengerId</v>
      </c>
      <c r="D43" t="str">
        <v>Survived</v>
      </c>
      <c r="E43" t="str">
        <v>Pclass</v>
      </c>
      <c r="F43" t="str">
        <v>Age</v>
      </c>
      <c r="G43" t="str">
        <v>SibSp</v>
      </c>
      <c r="H43" t="str">
        <v>Parch</v>
      </c>
      <c r="I43" t="str">
        <v>Fare</v>
      </c>
    </row>
    <row r="44" spans="1:9" x14ac:dyDescent="0.3">
      <c r="B44" t="str">
        <v>count</v>
      </c>
      <c r="C44">
        <v>891</v>
      </c>
      <c r="D44">
        <v>891</v>
      </c>
      <c r="E44">
        <v>891</v>
      </c>
      <c r="F44">
        <v>714</v>
      </c>
      <c r="G44">
        <v>891</v>
      </c>
      <c r="H44">
        <v>891</v>
      </c>
      <c r="I44">
        <v>891</v>
      </c>
    </row>
    <row r="45" spans="1:9" x14ac:dyDescent="0.3">
      <c r="B45" t="str">
        <v>mean</v>
      </c>
      <c r="C45">
        <v>446</v>
      </c>
      <c r="D45">
        <v>0.38383838383838381</v>
      </c>
      <c r="E45">
        <v>2.308641975308642</v>
      </c>
      <c r="F45">
        <v>29.69911764705882</v>
      </c>
      <c r="G45">
        <v>0.52300785634118963</v>
      </c>
      <c r="H45">
        <v>0.38159371492704824</v>
      </c>
      <c r="I45">
        <v>32.204207968574636</v>
      </c>
    </row>
    <row r="46" spans="1:9" x14ac:dyDescent="0.3">
      <c r="B46" t="str">
        <v>std</v>
      </c>
      <c r="C46">
        <v>257.3538420152301</v>
      </c>
      <c r="D46">
        <v>0.48659245426485848</v>
      </c>
      <c r="E46">
        <v>0.83607124097705132</v>
      </c>
      <c r="F46">
        <v>14.526497332334044</v>
      </c>
      <c r="G46">
        <v>1.1027434322934275</v>
      </c>
      <c r="H46">
        <v>0.80605722112995593</v>
      </c>
      <c r="I46">
        <v>49.693428597180905</v>
      </c>
    </row>
    <row r="47" spans="1:9" x14ac:dyDescent="0.3">
      <c r="B47" t="str">
        <v>min</v>
      </c>
      <c r="C47">
        <v>1</v>
      </c>
      <c r="D47">
        <v>0</v>
      </c>
      <c r="E47">
        <v>1</v>
      </c>
      <c r="F47">
        <v>0.42</v>
      </c>
      <c r="G47">
        <v>0</v>
      </c>
      <c r="H47">
        <v>0</v>
      </c>
      <c r="I47">
        <v>0</v>
      </c>
    </row>
    <row r="48" spans="1:9" x14ac:dyDescent="0.3">
      <c r="B48" t="str">
        <v>25%</v>
      </c>
      <c r="C48">
        <v>223.5</v>
      </c>
      <c r="D48">
        <v>0</v>
      </c>
      <c r="E48">
        <v>2</v>
      </c>
      <c r="F48">
        <v>20.125</v>
      </c>
      <c r="G48">
        <v>0</v>
      </c>
      <c r="H48">
        <v>0</v>
      </c>
      <c r="I48">
        <v>7.9104000000000001</v>
      </c>
    </row>
    <row r="49" spans="1:9" x14ac:dyDescent="0.3">
      <c r="B49" t="str">
        <v>50%</v>
      </c>
      <c r="C49">
        <v>446</v>
      </c>
      <c r="D49">
        <v>0</v>
      </c>
      <c r="E49">
        <v>3</v>
      </c>
      <c r="F49">
        <v>28</v>
      </c>
      <c r="G49">
        <v>0</v>
      </c>
      <c r="H49">
        <v>0</v>
      </c>
      <c r="I49">
        <v>14.4542</v>
      </c>
    </row>
    <row r="50" spans="1:9" x14ac:dyDescent="0.3">
      <c r="B50" t="str">
        <v>75%</v>
      </c>
      <c r="C50">
        <v>668.5</v>
      </c>
      <c r="D50">
        <v>1</v>
      </c>
      <c r="E50">
        <v>3</v>
      </c>
      <c r="F50">
        <v>38</v>
      </c>
      <c r="G50">
        <v>1</v>
      </c>
      <c r="H50">
        <v>0</v>
      </c>
      <c r="I50">
        <v>31</v>
      </c>
    </row>
    <row r="51" spans="1:9" x14ac:dyDescent="0.3">
      <c r="B51" t="str">
        <v>max</v>
      </c>
      <c r="C51">
        <v>891</v>
      </c>
      <c r="D51">
        <v>1</v>
      </c>
      <c r="E51">
        <v>3</v>
      </c>
      <c r="F51">
        <v>80</v>
      </c>
      <c r="G51">
        <v>8</v>
      </c>
      <c r="H51">
        <v>6</v>
      </c>
      <c r="I51">
        <v>512.32920000000001</v>
      </c>
    </row>
    <row r="54" spans="1:9" x14ac:dyDescent="0.3">
      <c r="A54" s="20" t="e" cm="1" vm="29">
        <f t="array" ref="A54">_xlfn._xlws.PY(32,1)</f>
        <v>#VALUE!</v>
      </c>
      <c r="B54" t="str" cm="1">
        <f t="array" ref="B54:F65">_FV(A54,"arrayPreview")</f>
        <v>Name</v>
      </c>
      <c r="C54" t="str">
        <v>Sex</v>
      </c>
      <c r="D54" t="str">
        <v>Ticket</v>
      </c>
      <c r="E54" t="str">
        <v>Cabin</v>
      </c>
      <c r="F54" t="str">
        <v>Embarked</v>
      </c>
    </row>
    <row r="55" spans="1:9" x14ac:dyDescent="0.3">
      <c r="B55" t="str">
        <v>Braund, Mr. Owen Harris</v>
      </c>
      <c r="C55" t="str">
        <v>male</v>
      </c>
      <c r="D55" t="str">
        <v>A/5 21171</v>
      </c>
      <c r="E55" t="str">
        <v/>
      </c>
      <c r="F55" t="str">
        <v>S</v>
      </c>
    </row>
    <row r="56" spans="1:9" x14ac:dyDescent="0.3">
      <c r="B56" t="str">
        <v>Cumings, Mrs. John Bradley (Florence Briggs Thayer)</v>
      </c>
      <c r="C56" t="str">
        <v>female</v>
      </c>
      <c r="D56" t="str">
        <v>PC 17599</v>
      </c>
      <c r="E56" t="str">
        <v>C85</v>
      </c>
      <c r="F56" t="str">
        <v>C</v>
      </c>
    </row>
    <row r="57" spans="1:9" x14ac:dyDescent="0.3">
      <c r="B57" t="str">
        <v>Heikkinen, Miss. Laina</v>
      </c>
      <c r="C57" t="str">
        <v>female</v>
      </c>
      <c r="D57" t="str">
        <v>STON/O2. 3101282</v>
      </c>
      <c r="E57" t="str">
        <v/>
      </c>
      <c r="F57" t="str">
        <v>S</v>
      </c>
    </row>
    <row r="58" spans="1:9" x14ac:dyDescent="0.3">
      <c r="B58" t="str">
        <v>Futrelle, Mrs. Jacques Heath (Lily May Peel)</v>
      </c>
      <c r="C58" t="str">
        <v>female</v>
      </c>
      <c r="D58" t="str">
        <v>113803</v>
      </c>
      <c r="E58" t="str">
        <v>C123</v>
      </c>
      <c r="F58" t="str">
        <v>S</v>
      </c>
    </row>
    <row r="59" spans="1:9" x14ac:dyDescent="0.3">
      <c r="B59" t="str">
        <v>Allen, Mr. William Henry</v>
      </c>
      <c r="C59" t="str">
        <v>male</v>
      </c>
      <c r="D59" t="str">
        <v>373450</v>
      </c>
      <c r="E59" t="str">
        <v/>
      </c>
      <c r="F59" t="str">
        <v>S</v>
      </c>
    </row>
    <row r="60" spans="1:9" x14ac:dyDescent="0.3">
      <c r="B60" t="str">
        <v>...</v>
      </c>
      <c r="C60" t="str">
        <v>...</v>
      </c>
      <c r="D60" t="str">
        <v>...</v>
      </c>
      <c r="E60" t="str">
        <v>...</v>
      </c>
      <c r="F60" t="str">
        <v>...</v>
      </c>
    </row>
    <row r="61" spans="1:9" x14ac:dyDescent="0.3">
      <c r="B61" t="str">
        <v>Montvila, Rev. Juozas</v>
      </c>
      <c r="C61" t="str">
        <v>male</v>
      </c>
      <c r="D61" t="str">
        <v>211536</v>
      </c>
      <c r="E61" t="str">
        <v/>
      </c>
      <c r="F61" t="str">
        <v>S</v>
      </c>
    </row>
    <row r="62" spans="1:9" x14ac:dyDescent="0.3">
      <c r="B62" t="str">
        <v>Graham, Miss. Margaret Edith</v>
      </c>
      <c r="C62" t="str">
        <v>female</v>
      </c>
      <c r="D62" t="str">
        <v>112053</v>
      </c>
      <c r="E62" t="str">
        <v>B42</v>
      </c>
      <c r="F62" t="str">
        <v>S</v>
      </c>
    </row>
    <row r="63" spans="1:9" x14ac:dyDescent="0.3">
      <c r="B63" t="str">
        <v>Johnston, Miss. Catherine Helen "Carrie"</v>
      </c>
      <c r="C63" t="str">
        <v>female</v>
      </c>
      <c r="D63" t="str">
        <v>W./C. 6607</v>
      </c>
      <c r="E63" t="str">
        <v/>
      </c>
      <c r="F63" t="str">
        <v>S</v>
      </c>
    </row>
    <row r="64" spans="1:9" x14ac:dyDescent="0.3">
      <c r="B64" t="str">
        <v>Behr, Mr. Karl Howell</v>
      </c>
      <c r="C64" t="str">
        <v>male</v>
      </c>
      <c r="D64" t="str">
        <v>111369</v>
      </c>
      <c r="E64" t="str">
        <v>C148</v>
      </c>
      <c r="F64" t="str">
        <v>C</v>
      </c>
    </row>
    <row r="65" spans="1:6" x14ac:dyDescent="0.3">
      <c r="B65" t="str">
        <v>Dooley, Mr. Patrick</v>
      </c>
      <c r="C65" t="str">
        <v>male</v>
      </c>
      <c r="D65" t="str">
        <v>370376</v>
      </c>
      <c r="E65" t="str">
        <v/>
      </c>
      <c r="F65" t="str">
        <v>Q</v>
      </c>
    </row>
    <row r="68" spans="1:6" x14ac:dyDescent="0.3">
      <c r="A68" s="20" t="e" cm="1" vm="30">
        <f t="array" ref="A68">_xlfn._xlws.PY(33,1)</f>
        <v>#VALUE!</v>
      </c>
      <c r="B68" t="str" cm="1">
        <f t="array" ref="B68:C78">_FV(A68,"arrayPreview")</f>
        <v>PassengerId</v>
      </c>
      <c r="C68" t="b">
        <v>0</v>
      </c>
    </row>
    <row r="69" spans="1:6" x14ac:dyDescent="0.3">
      <c r="B69" t="str">
        <v>Survived</v>
      </c>
      <c r="C69" t="b">
        <v>0</v>
      </c>
    </row>
    <row r="70" spans="1:6" x14ac:dyDescent="0.3">
      <c r="B70" t="str">
        <v>Pclass</v>
      </c>
      <c r="C70" t="b">
        <v>0</v>
      </c>
    </row>
    <row r="71" spans="1:6" x14ac:dyDescent="0.3">
      <c r="B71" t="str">
        <v>Name</v>
      </c>
      <c r="C71" t="b">
        <v>1</v>
      </c>
    </row>
    <row r="72" spans="1:6" x14ac:dyDescent="0.3">
      <c r="B72" t="str">
        <v>Sex</v>
      </c>
      <c r="C72" t="b">
        <v>1</v>
      </c>
    </row>
    <row r="73" spans="1:6" x14ac:dyDescent="0.3">
      <c r="B73" t="str">
        <v>...</v>
      </c>
      <c r="C73" t="str">
        <v>...</v>
      </c>
    </row>
    <row r="74" spans="1:6" x14ac:dyDescent="0.3">
      <c r="B74" t="str">
        <v>Parch</v>
      </c>
      <c r="C74" t="b">
        <v>0</v>
      </c>
    </row>
    <row r="75" spans="1:6" x14ac:dyDescent="0.3">
      <c r="B75" t="str">
        <v>Ticket</v>
      </c>
      <c r="C75" t="b">
        <v>1</v>
      </c>
    </row>
    <row r="76" spans="1:6" x14ac:dyDescent="0.3">
      <c r="B76" t="str">
        <v>Fare</v>
      </c>
      <c r="C76" t="b">
        <v>0</v>
      </c>
    </row>
    <row r="77" spans="1:6" x14ac:dyDescent="0.3">
      <c r="B77" t="str">
        <v>Cabin</v>
      </c>
      <c r="C77" t="b">
        <v>1</v>
      </c>
    </row>
    <row r="78" spans="1:6" x14ac:dyDescent="0.3">
      <c r="B78" t="str">
        <v>Embarked</v>
      </c>
      <c r="C78" t="b">
        <v>1</v>
      </c>
    </row>
    <row r="81" spans="1:7" x14ac:dyDescent="0.3">
      <c r="A81" s="20" t="e" cm="1" vm="31">
        <f t="array" ref="A81">_xlfn._xlws.PY(34,1)</f>
        <v>#VALUE!</v>
      </c>
      <c r="B81" t="str" cm="1">
        <f t="array" ref="B81">_xlfn._DF_Python_str(A81)</f>
        <v>Index(['Name', 'Sex', 'Ticket', 'Cabin', 'Embarked'], dtype='object')</v>
      </c>
    </row>
    <row r="83" spans="1:7" x14ac:dyDescent="0.3">
      <c r="A83" s="20" t="e" cm="1" vm="7">
        <f t="array" ref="A83">_xlfn._xlws.PY(35,1)</f>
        <v>#VALUE!</v>
      </c>
      <c r="B83" t="str" cm="1">
        <f t="array" ref="B83">_xlfn._DF_Python_str(A83)</f>
        <v>&lt;class 'pandas.core.series.Series'&gt;</v>
      </c>
    </row>
    <row r="85" spans="1:7" x14ac:dyDescent="0.3">
      <c r="A85" s="20" t="e" cm="1" vm="32">
        <f t="array" ref="A85">_xlfn._xlws.PY(36,1)</f>
        <v>#VALUE!</v>
      </c>
      <c r="B85" t="str" cm="1">
        <f t="array" ref="B85:G89">_FV(A85,"arrayPreview")</f>
        <v/>
      </c>
      <c r="C85" t="str">
        <v>Name</v>
      </c>
      <c r="D85" t="str">
        <v>Sex</v>
      </c>
      <c r="E85" t="str">
        <v>Ticket</v>
      </c>
      <c r="F85" t="str">
        <v>Cabin</v>
      </c>
      <c r="G85" t="str">
        <v>Embarked</v>
      </c>
    </row>
    <row r="86" spans="1:7" x14ac:dyDescent="0.3">
      <c r="B86" t="str">
        <v>count</v>
      </c>
      <c r="C86">
        <v>891</v>
      </c>
      <c r="D86">
        <v>891</v>
      </c>
      <c r="E86">
        <v>891</v>
      </c>
      <c r="F86">
        <v>891</v>
      </c>
      <c r="G86">
        <v>891</v>
      </c>
    </row>
    <row r="87" spans="1:7" x14ac:dyDescent="0.3">
      <c r="B87" t="str">
        <v>unique</v>
      </c>
      <c r="C87">
        <v>891</v>
      </c>
      <c r="D87">
        <v>2</v>
      </c>
      <c r="E87">
        <v>681</v>
      </c>
      <c r="F87">
        <v>148</v>
      </c>
      <c r="G87">
        <v>4</v>
      </c>
    </row>
    <row r="88" spans="1:7" x14ac:dyDescent="0.3">
      <c r="B88" t="str">
        <v>top</v>
      </c>
      <c r="C88" t="str">
        <v>Braund, Mr. Owen Harris</v>
      </c>
      <c r="D88" t="str">
        <v>male</v>
      </c>
      <c r="E88" t="str">
        <v>347082</v>
      </c>
      <c r="F88" t="str">
        <v/>
      </c>
      <c r="G88" t="str">
        <v>S</v>
      </c>
    </row>
    <row r="89" spans="1:7" x14ac:dyDescent="0.3">
      <c r="B89" t="str">
        <v>freq</v>
      </c>
      <c r="C89">
        <v>1</v>
      </c>
      <c r="D89">
        <v>577</v>
      </c>
      <c r="E89">
        <v>7</v>
      </c>
      <c r="F89">
        <v>687</v>
      </c>
      <c r="G89">
        <v>644</v>
      </c>
    </row>
    <row r="92" spans="1:7" x14ac:dyDescent="0.3">
      <c r="A92" s="20" t="e" cm="1" vm="33">
        <f t="array" ref="A92">_xlfn._xlws.PY(37,1)</f>
        <v>#VALUE!</v>
      </c>
      <c r="B92" t="str" cm="1">
        <f t="array" ref="B92:C103">_FV(A92,"arrayPreview")</f>
        <v>Age</v>
      </c>
      <c r="C92" t="str">
        <v>Fare</v>
      </c>
    </row>
    <row r="93" spans="1:7" x14ac:dyDescent="0.3">
      <c r="B93" s="26">
        <v>22</v>
      </c>
      <c r="C93">
        <v>7.25</v>
      </c>
    </row>
    <row r="94" spans="1:7" x14ac:dyDescent="0.3">
      <c r="B94" s="26">
        <v>38</v>
      </c>
      <c r="C94">
        <v>71.283299999999997</v>
      </c>
    </row>
    <row r="95" spans="1:7" x14ac:dyDescent="0.3">
      <c r="B95" s="26">
        <v>26</v>
      </c>
      <c r="C95">
        <v>7.9249999999999998</v>
      </c>
    </row>
    <row r="96" spans="1:7" x14ac:dyDescent="0.3">
      <c r="B96" s="26">
        <v>35</v>
      </c>
      <c r="C96">
        <v>53.1</v>
      </c>
    </row>
    <row r="97" spans="1:6" x14ac:dyDescent="0.3">
      <c r="B97" s="26">
        <v>35</v>
      </c>
      <c r="C97">
        <v>8.0500000000000007</v>
      </c>
    </row>
    <row r="98" spans="1:6" x14ac:dyDescent="0.3">
      <c r="B98" s="26" t="str">
        <v>...</v>
      </c>
      <c r="C98" t="str">
        <v>...</v>
      </c>
    </row>
    <row r="99" spans="1:6" x14ac:dyDescent="0.3">
      <c r="B99" s="26">
        <v>27</v>
      </c>
      <c r="C99">
        <v>13</v>
      </c>
    </row>
    <row r="100" spans="1:6" x14ac:dyDescent="0.3">
      <c r="B100" s="26">
        <v>19</v>
      </c>
      <c r="C100">
        <v>30</v>
      </c>
    </row>
    <row r="101" spans="1:6" x14ac:dyDescent="0.3">
      <c r="A101" t="s">
        <v>2499</v>
      </c>
      <c r="B101" s="26" t="e">
        <v>#NUM!</v>
      </c>
      <c r="C101">
        <v>23.45</v>
      </c>
    </row>
    <row r="102" spans="1:6" x14ac:dyDescent="0.3">
      <c r="B102" s="26">
        <v>26</v>
      </c>
      <c r="C102">
        <v>30</v>
      </c>
    </row>
    <row r="103" spans="1:6" x14ac:dyDescent="0.3">
      <c r="B103" s="26">
        <v>32</v>
      </c>
      <c r="C103">
        <v>7.75</v>
      </c>
    </row>
    <row r="106" spans="1:6" x14ac:dyDescent="0.3">
      <c r="A106" s="20" t="e" cm="1" vm="34">
        <f t="array" ref="A106">_xlfn._xlws.PY(38,1)</f>
        <v>#VALUE!</v>
      </c>
      <c r="B106" t="str" cm="1">
        <f t="array" ref="B106:F117">_FV(A106,"arrayPreview")</f>
        <v>PassengerId</v>
      </c>
      <c r="C106" t="str">
        <v>Survived</v>
      </c>
      <c r="D106" t="str">
        <v>Pclass</v>
      </c>
      <c r="E106" t="str">
        <v>SibSp</v>
      </c>
      <c r="F106" t="str">
        <v>Parch</v>
      </c>
    </row>
    <row r="107" spans="1:6" x14ac:dyDescent="0.3">
      <c r="B107">
        <v>1</v>
      </c>
      <c r="C107">
        <v>0</v>
      </c>
      <c r="D107">
        <v>3</v>
      </c>
      <c r="E107">
        <v>1</v>
      </c>
      <c r="F107">
        <v>0</v>
      </c>
    </row>
    <row r="108" spans="1:6" x14ac:dyDescent="0.3">
      <c r="B108">
        <v>2</v>
      </c>
      <c r="C108">
        <v>1</v>
      </c>
      <c r="D108">
        <v>1</v>
      </c>
      <c r="E108">
        <v>1</v>
      </c>
      <c r="F108">
        <v>0</v>
      </c>
    </row>
    <row r="109" spans="1:6" x14ac:dyDescent="0.3">
      <c r="B109">
        <v>3</v>
      </c>
      <c r="C109">
        <v>1</v>
      </c>
      <c r="D109">
        <v>3</v>
      </c>
      <c r="E109">
        <v>0</v>
      </c>
      <c r="F109">
        <v>0</v>
      </c>
    </row>
    <row r="110" spans="1:6" x14ac:dyDescent="0.3">
      <c r="B110">
        <v>4</v>
      </c>
      <c r="C110">
        <v>1</v>
      </c>
      <c r="D110">
        <v>1</v>
      </c>
      <c r="E110">
        <v>1</v>
      </c>
      <c r="F110">
        <v>0</v>
      </c>
    </row>
    <row r="111" spans="1:6" x14ac:dyDescent="0.3">
      <c r="B111">
        <v>5</v>
      </c>
      <c r="C111">
        <v>0</v>
      </c>
      <c r="D111">
        <v>3</v>
      </c>
      <c r="E111">
        <v>0</v>
      </c>
      <c r="F111">
        <v>0</v>
      </c>
    </row>
    <row r="112" spans="1:6" x14ac:dyDescent="0.3">
      <c r="B112" t="str">
        <v>...</v>
      </c>
      <c r="C112" t="str">
        <v>...</v>
      </c>
      <c r="D112" t="str">
        <v>...</v>
      </c>
      <c r="E112" t="str">
        <v>...</v>
      </c>
      <c r="F112" t="str">
        <v>...</v>
      </c>
    </row>
    <row r="113" spans="1:6" x14ac:dyDescent="0.3">
      <c r="B113">
        <v>887</v>
      </c>
      <c r="C113">
        <v>0</v>
      </c>
      <c r="D113">
        <v>2</v>
      </c>
      <c r="E113">
        <v>0</v>
      </c>
      <c r="F113">
        <v>0</v>
      </c>
    </row>
    <row r="114" spans="1:6" x14ac:dyDescent="0.3">
      <c r="B114">
        <v>888</v>
      </c>
      <c r="C114">
        <v>1</v>
      </c>
      <c r="D114">
        <v>1</v>
      </c>
      <c r="E114">
        <v>0</v>
      </c>
      <c r="F114">
        <v>0</v>
      </c>
    </row>
    <row r="115" spans="1:6" x14ac:dyDescent="0.3">
      <c r="B115">
        <v>889</v>
      </c>
      <c r="C115">
        <v>0</v>
      </c>
      <c r="D115">
        <v>3</v>
      </c>
      <c r="E115">
        <v>1</v>
      </c>
      <c r="F115">
        <v>2</v>
      </c>
    </row>
    <row r="116" spans="1:6" x14ac:dyDescent="0.3">
      <c r="B116">
        <v>890</v>
      </c>
      <c r="C116">
        <v>1</v>
      </c>
      <c r="D116">
        <v>1</v>
      </c>
      <c r="E116">
        <v>0</v>
      </c>
      <c r="F116">
        <v>0</v>
      </c>
    </row>
    <row r="117" spans="1:6" x14ac:dyDescent="0.3">
      <c r="B117">
        <v>891</v>
      </c>
      <c r="C117">
        <v>0</v>
      </c>
      <c r="D117">
        <v>3</v>
      </c>
      <c r="E117">
        <v>0</v>
      </c>
      <c r="F117">
        <v>0</v>
      </c>
    </row>
    <row r="120" spans="1:6" x14ac:dyDescent="0.3">
      <c r="A120" s="20" t="e" cm="1" vm="16">
        <f t="array" ref="A120">_xlfn._xlws.PY(10,1)</f>
        <v>#VALUE!</v>
      </c>
      <c r="B120" t="str" cm="1">
        <f t="array" ref="B120">_xlfn._DF_Python_str(A120)</f>
        <v>Index(['PassengerId', 'Survived', 'Pclass', 'Name', 'Sex', 'Age', 'SibSp',
       'Parch', 'Ticket', 'Fare', 'Cabin', 'Embarked'],
      dtype='object')</v>
      </c>
    </row>
    <row r="122" spans="1:6" x14ac:dyDescent="0.3">
      <c r="A122" s="20" t="e" cm="1" vm="35">
        <f t="array" ref="A122">_xlfn._xlws.PY(39,1)</f>
        <v>#VALUE!</v>
      </c>
      <c r="B122" t="str" cm="1">
        <f t="array" ref="B122:C126">_FV(A122,"arrayPreview")</f>
        <v>Ticket</v>
      </c>
      <c r="C122" t="str">
        <v>Cabin</v>
      </c>
    </row>
    <row r="123" spans="1:6" x14ac:dyDescent="0.3">
      <c r="B123" t="str">
        <v>373450</v>
      </c>
      <c r="C123" t="str">
        <v/>
      </c>
    </row>
    <row r="124" spans="1:6" x14ac:dyDescent="0.3">
      <c r="B124" t="str">
        <v>17463</v>
      </c>
      <c r="C124" t="str">
        <v>E46</v>
      </c>
    </row>
    <row r="125" spans="1:6" x14ac:dyDescent="0.3">
      <c r="B125" t="str">
        <v>347742</v>
      </c>
      <c r="C125" t="str">
        <v/>
      </c>
    </row>
    <row r="126" spans="1:6" x14ac:dyDescent="0.3">
      <c r="B126" t="str">
        <v>PP 9549</v>
      </c>
      <c r="C126" t="str">
        <v>G6</v>
      </c>
    </row>
    <row r="128" spans="1:6" x14ac:dyDescent="0.3">
      <c r="A128" cm="1" vm="36">
        <f t="array" ref="A128">_xlfn._xlws.PY(40,1)</f>
        <v>0</v>
      </c>
    </row>
    <row r="130" spans="1:12" x14ac:dyDescent="0.3">
      <c r="A130" s="23" t="s">
        <v>2500</v>
      </c>
    </row>
    <row r="131" spans="1:12" x14ac:dyDescent="0.3">
      <c r="A131" s="20" t="e" cm="1" vm="37">
        <f t="array" ref="A131">_xlfn._xlws.PY(41,1)</f>
        <v>#VALUE!</v>
      </c>
      <c r="B131" s="27" t="str" cm="1">
        <f t="array" ref="B131:L142">_FV(A131,"arrayPreview")</f>
        <v>PassengerId</v>
      </c>
      <c r="C131" s="27" t="str">
        <v>Survived</v>
      </c>
      <c r="D131" s="27" t="str">
        <v>Pclass</v>
      </c>
      <c r="E131" s="27" t="str">
        <v>Name</v>
      </c>
      <c r="F131" s="27" t="str">
        <v>Sex</v>
      </c>
      <c r="G131" s="27" t="str">
        <v>...</v>
      </c>
      <c r="H131" s="27" t="str">
        <v>Ticket</v>
      </c>
      <c r="I131" s="27" t="str">
        <v>Fare</v>
      </c>
      <c r="J131" s="27" t="str">
        <v>Cabin</v>
      </c>
      <c r="K131" s="27" t="str">
        <v>Embarked</v>
      </c>
      <c r="L131" s="27" t="str">
        <v>new_col1</v>
      </c>
    </row>
    <row r="132" spans="1:12" x14ac:dyDescent="0.3">
      <c r="B132">
        <v>1</v>
      </c>
      <c r="C132">
        <v>0</v>
      </c>
      <c r="D132">
        <v>3</v>
      </c>
      <c r="E132" t="str">
        <v>Braund, Mr. Owen Harris</v>
      </c>
      <c r="F132" t="str">
        <v>male</v>
      </c>
      <c r="G132" t="str">
        <v>...</v>
      </c>
      <c r="H132" t="str">
        <v>A/5 21171</v>
      </c>
      <c r="I132">
        <v>7.25</v>
      </c>
      <c r="J132" t="str">
        <v/>
      </c>
      <c r="K132" t="str">
        <v>S</v>
      </c>
      <c r="L132">
        <v>4</v>
      </c>
    </row>
    <row r="133" spans="1:12" x14ac:dyDescent="0.3">
      <c r="B133">
        <v>2</v>
      </c>
      <c r="C133">
        <v>1</v>
      </c>
      <c r="D133">
        <v>1</v>
      </c>
      <c r="E133" t="str">
        <v>Cumings, Mrs. John Bradley (Florence Briggs Thayer)</v>
      </c>
      <c r="F133" t="str">
        <v>female</v>
      </c>
      <c r="G133" t="str">
        <v>...</v>
      </c>
      <c r="H133" t="str">
        <v>PC 17599</v>
      </c>
      <c r="I133">
        <v>71.283299999999997</v>
      </c>
      <c r="J133" t="str">
        <v>C85</v>
      </c>
      <c r="K133" t="str">
        <v>C</v>
      </c>
      <c r="L133">
        <v>3</v>
      </c>
    </row>
    <row r="134" spans="1:12" x14ac:dyDescent="0.3">
      <c r="B134">
        <v>3</v>
      </c>
      <c r="C134">
        <v>1</v>
      </c>
      <c r="D134">
        <v>3</v>
      </c>
      <c r="E134" t="str">
        <v>Heikkinen, Miss. Laina</v>
      </c>
      <c r="F134" t="str">
        <v>female</v>
      </c>
      <c r="G134" t="str">
        <v>...</v>
      </c>
      <c r="H134" t="str">
        <v>STON/O2. 3101282</v>
      </c>
      <c r="I134">
        <v>7.9249999999999998</v>
      </c>
      <c r="J134" t="str">
        <v/>
      </c>
      <c r="K134" t="str">
        <v>S</v>
      </c>
      <c r="L134">
        <v>6</v>
      </c>
    </row>
    <row r="135" spans="1:12" x14ac:dyDescent="0.3">
      <c r="B135">
        <v>4</v>
      </c>
      <c r="C135">
        <v>1</v>
      </c>
      <c r="D135">
        <v>1</v>
      </c>
      <c r="E135" t="str">
        <v>Futrelle, Mrs. Jacques Heath (Lily May Peel)</v>
      </c>
      <c r="F135" t="str">
        <v>female</v>
      </c>
      <c r="G135" t="str">
        <v>...</v>
      </c>
      <c r="H135" t="str">
        <v>113803</v>
      </c>
      <c r="I135">
        <v>53.1</v>
      </c>
      <c r="J135" t="str">
        <v>C123</v>
      </c>
      <c r="K135" t="str">
        <v>S</v>
      </c>
      <c r="L135">
        <v>5</v>
      </c>
    </row>
    <row r="136" spans="1:12" x14ac:dyDescent="0.3">
      <c r="B136">
        <v>5</v>
      </c>
      <c r="C136">
        <v>0</v>
      </c>
      <c r="D136">
        <v>3</v>
      </c>
      <c r="E136" t="str">
        <v>Allen, Mr. William Henry</v>
      </c>
      <c r="F136" t="str">
        <v>male</v>
      </c>
      <c r="G136" t="str">
        <v>...</v>
      </c>
      <c r="H136" t="str">
        <v>373450</v>
      </c>
      <c r="I136">
        <v>8.0500000000000007</v>
      </c>
      <c r="J136" t="str">
        <v/>
      </c>
      <c r="K136" t="str">
        <v>S</v>
      </c>
      <c r="L136">
        <v>8</v>
      </c>
    </row>
    <row r="137" spans="1:12" x14ac:dyDescent="0.3">
      <c r="B137" t="str">
        <v>...</v>
      </c>
      <c r="C137" t="str">
        <v>...</v>
      </c>
      <c r="D137" t="str">
        <v>...</v>
      </c>
      <c r="E137" t="str">
        <v>...</v>
      </c>
      <c r="F137" t="str">
        <v>...</v>
      </c>
      <c r="G137" t="str">
        <v>...</v>
      </c>
      <c r="H137" t="str">
        <v>...</v>
      </c>
      <c r="I137" t="str">
        <v>...</v>
      </c>
      <c r="J137" t="str">
        <v>...</v>
      </c>
      <c r="K137" t="str">
        <v>...</v>
      </c>
      <c r="L137" t="str">
        <v>...</v>
      </c>
    </row>
    <row r="138" spans="1:12" x14ac:dyDescent="0.3">
      <c r="B138">
        <v>887</v>
      </c>
      <c r="C138">
        <v>0</v>
      </c>
      <c r="D138">
        <v>2</v>
      </c>
      <c r="E138" t="str">
        <v>Montvila, Rev. Juozas</v>
      </c>
      <c r="F138" t="str">
        <v>male</v>
      </c>
      <c r="G138" t="str">
        <v>...</v>
      </c>
      <c r="H138" t="str">
        <v>211536</v>
      </c>
      <c r="I138">
        <v>13</v>
      </c>
      <c r="J138" t="str">
        <v/>
      </c>
      <c r="K138" t="str">
        <v>S</v>
      </c>
      <c r="L138">
        <v>889</v>
      </c>
    </row>
    <row r="139" spans="1:12" x14ac:dyDescent="0.3">
      <c r="B139">
        <v>888</v>
      </c>
      <c r="C139">
        <v>1</v>
      </c>
      <c r="D139">
        <v>1</v>
      </c>
      <c r="E139" t="str">
        <v>Graham, Miss. Margaret Edith</v>
      </c>
      <c r="F139" t="str">
        <v>female</v>
      </c>
      <c r="G139" t="str">
        <v>...</v>
      </c>
      <c r="H139" t="str">
        <v>112053</v>
      </c>
      <c r="I139">
        <v>30</v>
      </c>
      <c r="J139" t="str">
        <v>B42</v>
      </c>
      <c r="K139" t="str">
        <v>S</v>
      </c>
      <c r="L139">
        <v>889</v>
      </c>
    </row>
    <row r="140" spans="1:12" x14ac:dyDescent="0.3">
      <c r="B140">
        <v>889</v>
      </c>
      <c r="C140">
        <v>0</v>
      </c>
      <c r="D140">
        <v>3</v>
      </c>
      <c r="E140" t="str">
        <v>Johnston, Miss. Catherine Helen "Carrie"</v>
      </c>
      <c r="F140" t="str">
        <v>female</v>
      </c>
      <c r="G140" t="str">
        <v>...</v>
      </c>
      <c r="H140" t="str">
        <v>W./C. 6607</v>
      </c>
      <c r="I140">
        <v>23.45</v>
      </c>
      <c r="J140" t="str">
        <v/>
      </c>
      <c r="K140" t="str">
        <v>S</v>
      </c>
      <c r="L140">
        <v>892</v>
      </c>
    </row>
    <row r="141" spans="1:12" x14ac:dyDescent="0.3">
      <c r="B141">
        <v>890</v>
      </c>
      <c r="C141">
        <v>1</v>
      </c>
      <c r="D141">
        <v>1</v>
      </c>
      <c r="E141" t="str">
        <v>Behr, Mr. Karl Howell</v>
      </c>
      <c r="F141" t="str">
        <v>male</v>
      </c>
      <c r="G141" t="str">
        <v>...</v>
      </c>
      <c r="H141" t="str">
        <v>111369</v>
      </c>
      <c r="I141">
        <v>30</v>
      </c>
      <c r="J141" t="str">
        <v>C148</v>
      </c>
      <c r="K141" t="str">
        <v>C</v>
      </c>
      <c r="L141">
        <v>891</v>
      </c>
    </row>
    <row r="142" spans="1:12" x14ac:dyDescent="0.3">
      <c r="B142">
        <v>891</v>
      </c>
      <c r="C142">
        <v>0</v>
      </c>
      <c r="D142">
        <v>3</v>
      </c>
      <c r="E142" t="str">
        <v>Dooley, Mr. Patrick</v>
      </c>
      <c r="F142" t="str">
        <v>male</v>
      </c>
      <c r="G142" t="str">
        <v>...</v>
      </c>
      <c r="H142" t="str">
        <v>370376</v>
      </c>
      <c r="I142">
        <v>7.75</v>
      </c>
      <c r="J142" t="str">
        <v/>
      </c>
      <c r="K142" t="str">
        <v>Q</v>
      </c>
      <c r="L142">
        <v>894</v>
      </c>
    </row>
    <row r="145" spans="1:3" x14ac:dyDescent="0.3">
      <c r="A145" s="20" t="e" cm="1" vm="38">
        <f t="array" ref="A145">_xlfn._xlws.PY(42,1)</f>
        <v>#VALUE!</v>
      </c>
      <c r="B145" t="str" cm="1">
        <f t="array" ref="B145">_xlfn._DF_Python_str(A145)</f>
        <v>[3, 1, 3, 1, 3, ..., 2, 1, 3, 1, 3]
Length: 891
Categories (3, int64): [1, 2, 3]</v>
      </c>
    </row>
    <row r="148" spans="1:3" x14ac:dyDescent="0.3">
      <c r="A148" s="20" t="e" cm="1" vm="39">
        <f t="array" ref="A148">_xlfn._xlws.PY(43,1)</f>
        <v>#VALUE!</v>
      </c>
      <c r="B148" t="str" cm="1">
        <f t="array" ref="B148">_xlfn._DF_Python_str(A148)</f>
        <v>[0, 1, 1, 1, 0, ..., 0, 1, 0, 1, 0]
Length: 891
Categories (2, int64): [0, 1]</v>
      </c>
    </row>
    <row r="151" spans="1:3" x14ac:dyDescent="0.3">
      <c r="A151" s="20" t="e" cm="1" vm="40">
        <f t="array" ref="A151">_xlfn._xlws.PY(44,1)</f>
        <v>#VALUE!</v>
      </c>
      <c r="B151" t="str" cm="1">
        <f t="array" ref="B151:B161">_FV(A151,"arrayPreview")</f>
        <v/>
      </c>
      <c r="C151" t="str" cm="1">
        <f t="array" ref="C151">_xlfn._DF_Python_str(A151)</f>
        <v>['' 'C85' 'C123' 'E46' 'G6' 'C103' 'D56' 'A6' 'C23 C25 C27' 'B78' 'D33'
 'B30' 'C52' 'B28' 'C83' 'F33' 'F G73' 'E31' 'A5' 'D10 D12' 'D26' 'C110'
 'B58 B60' 'E101' 'F E69' 'D47' 'B86' 'F2' 'C2' 'E33' 'B19' 'A7' 'C49'
 'F4' 'A32' 'B4' 'B80' 'A31' 'D36' '...</v>
      </c>
    </row>
    <row r="152" spans="1:3" x14ac:dyDescent="0.3">
      <c r="B152" t="str">
        <v>C85</v>
      </c>
    </row>
    <row r="153" spans="1:3" x14ac:dyDescent="0.3">
      <c r="B153" t="str">
        <v>C123</v>
      </c>
    </row>
    <row r="154" spans="1:3" x14ac:dyDescent="0.3">
      <c r="B154" t="str">
        <v>E46</v>
      </c>
    </row>
    <row r="155" spans="1:3" x14ac:dyDescent="0.3">
      <c r="B155" t="str">
        <v>G6</v>
      </c>
    </row>
    <row r="156" spans="1:3" x14ac:dyDescent="0.3">
      <c r="B156" t="str">
        <v>...</v>
      </c>
    </row>
    <row r="157" spans="1:3" x14ac:dyDescent="0.3">
      <c r="B157" t="str">
        <v>E17</v>
      </c>
    </row>
    <row r="158" spans="1:3" x14ac:dyDescent="0.3">
      <c r="B158" t="str">
        <v>A24</v>
      </c>
    </row>
    <row r="159" spans="1:3" x14ac:dyDescent="0.3">
      <c r="B159" t="str">
        <v>C50</v>
      </c>
    </row>
    <row r="160" spans="1:3" x14ac:dyDescent="0.3">
      <c r="B160" t="str">
        <v>B42</v>
      </c>
    </row>
    <row r="161" spans="1:12" x14ac:dyDescent="0.3">
      <c r="B161" t="str">
        <v>C148</v>
      </c>
    </row>
    <row r="163" spans="1:12" x14ac:dyDescent="0.3">
      <c r="A163" cm="1" vm="41">
        <f t="array" ref="A163">_xlfn._xlws.PY(45,1)</f>
        <v>-316</v>
      </c>
    </row>
    <row r="165" spans="1:12" x14ac:dyDescent="0.3">
      <c r="A165" s="20" t="e" cm="1" vm="42">
        <f t="array" ref="A165">_xlfn._xlws.PY(46,1)</f>
        <v>#VALUE!</v>
      </c>
      <c r="B165" t="str" cm="1">
        <f t="array" ref="B165:L176">_FV(A165,"arrayPreview")</f>
        <v>PassengerId</v>
      </c>
      <c r="C165" t="str">
        <v>Survived</v>
      </c>
      <c r="D165" t="str">
        <v>Pclass</v>
      </c>
      <c r="E165" t="str">
        <v>Name</v>
      </c>
      <c r="F165" t="str">
        <v>Sex</v>
      </c>
      <c r="G165" t="str">
        <v>...</v>
      </c>
      <c r="H165" t="str">
        <v>Ticket</v>
      </c>
      <c r="I165" t="str">
        <v>Fare</v>
      </c>
      <c r="J165" t="str">
        <v>Cabin</v>
      </c>
      <c r="K165" t="str">
        <v>Embarked</v>
      </c>
      <c r="L165" t="str">
        <v>new_col1</v>
      </c>
    </row>
    <row r="166" spans="1:12" x14ac:dyDescent="0.3">
      <c r="B166">
        <v>1</v>
      </c>
      <c r="C166">
        <v>0</v>
      </c>
      <c r="D166">
        <v>3</v>
      </c>
      <c r="E166" t="str">
        <v>Braund, Mr. Owen Harris</v>
      </c>
      <c r="F166" t="str">
        <v>male</v>
      </c>
      <c r="G166" t="str">
        <v>...</v>
      </c>
      <c r="H166" t="str">
        <v>A/5 21171</v>
      </c>
      <c r="I166">
        <v>7.25</v>
      </c>
      <c r="J166" t="str">
        <v/>
      </c>
      <c r="K166" t="str">
        <v>S</v>
      </c>
      <c r="L166">
        <v>4</v>
      </c>
    </row>
    <row r="167" spans="1:12" x14ac:dyDescent="0.3">
      <c r="B167">
        <v>2</v>
      </c>
      <c r="C167">
        <v>1</v>
      </c>
      <c r="D167">
        <v>1</v>
      </c>
      <c r="E167" t="str">
        <v>Cumings, Mrs. John Bradley (Florence Briggs Thayer)</v>
      </c>
      <c r="F167" t="str">
        <v>female</v>
      </c>
      <c r="G167" t="str">
        <v>...</v>
      </c>
      <c r="H167" t="str">
        <v>PC 17599</v>
      </c>
      <c r="I167">
        <v>71.283299999999997</v>
      </c>
      <c r="J167" t="str">
        <v>C85</v>
      </c>
      <c r="K167" t="str">
        <v>C</v>
      </c>
      <c r="L167">
        <v>3</v>
      </c>
    </row>
    <row r="168" spans="1:12" x14ac:dyDescent="0.3">
      <c r="B168">
        <v>3</v>
      </c>
      <c r="C168">
        <v>1</v>
      </c>
      <c r="D168">
        <v>3</v>
      </c>
      <c r="E168" t="str">
        <v>Heikkinen, Miss. Laina</v>
      </c>
      <c r="F168" t="str">
        <v>female</v>
      </c>
      <c r="G168" t="str">
        <v>...</v>
      </c>
      <c r="H168" t="str">
        <v>STON/O2. 3101282</v>
      </c>
      <c r="I168">
        <v>7.9249999999999998</v>
      </c>
      <c r="J168" t="str">
        <v/>
      </c>
      <c r="K168" t="str">
        <v>S</v>
      </c>
      <c r="L168">
        <v>6</v>
      </c>
    </row>
    <row r="169" spans="1:12" x14ac:dyDescent="0.3">
      <c r="B169">
        <v>4</v>
      </c>
      <c r="C169">
        <v>1</v>
      </c>
      <c r="D169">
        <v>1</v>
      </c>
      <c r="E169" t="str">
        <v>Futrelle, Mrs. Jacques Heath (Lily May Peel)</v>
      </c>
      <c r="F169" t="str">
        <v>female</v>
      </c>
      <c r="G169" t="str">
        <v>...</v>
      </c>
      <c r="H169" t="str">
        <v>113803</v>
      </c>
      <c r="I169">
        <v>53.1</v>
      </c>
      <c r="J169" t="str">
        <v>C123</v>
      </c>
      <c r="K169" t="str">
        <v>S</v>
      </c>
      <c r="L169">
        <v>5</v>
      </c>
    </row>
    <row r="170" spans="1:12" x14ac:dyDescent="0.3">
      <c r="B170">
        <v>5</v>
      </c>
      <c r="C170">
        <v>0</v>
      </c>
      <c r="D170">
        <v>3</v>
      </c>
      <c r="E170" t="str">
        <v>Allen, Mr. William Henry</v>
      </c>
      <c r="F170" t="str">
        <v>male</v>
      </c>
      <c r="G170" t="str">
        <v>...</v>
      </c>
      <c r="H170" t="str">
        <v>373450</v>
      </c>
      <c r="I170">
        <v>8.0500000000000007</v>
      </c>
      <c r="J170" t="str">
        <v/>
      </c>
      <c r="K170" t="str">
        <v>S</v>
      </c>
      <c r="L170">
        <v>8</v>
      </c>
    </row>
    <row r="171" spans="1:12" x14ac:dyDescent="0.3">
      <c r="B171" t="str">
        <v>...</v>
      </c>
      <c r="C171" t="str">
        <v>...</v>
      </c>
      <c r="D171" t="str">
        <v>...</v>
      </c>
      <c r="E171" t="str">
        <v>...</v>
      </c>
      <c r="F171" t="str">
        <v>...</v>
      </c>
      <c r="G171" t="str">
        <v>...</v>
      </c>
      <c r="H171" t="str">
        <v>...</v>
      </c>
      <c r="I171" t="str">
        <v>...</v>
      </c>
      <c r="J171" t="str">
        <v>...</v>
      </c>
      <c r="K171" t="str">
        <v>...</v>
      </c>
      <c r="L171" t="str">
        <v>...</v>
      </c>
    </row>
    <row r="172" spans="1:12" x14ac:dyDescent="0.3">
      <c r="B172">
        <v>886</v>
      </c>
      <c r="C172">
        <v>0</v>
      </c>
      <c r="D172">
        <v>3</v>
      </c>
      <c r="E172" t="str">
        <v>Rice, Mrs. William (Margaret Norton)</v>
      </c>
      <c r="F172" t="str">
        <v>female</v>
      </c>
      <c r="G172" t="str">
        <v>...</v>
      </c>
      <c r="H172" t="str">
        <v>382652</v>
      </c>
      <c r="I172">
        <v>29.125</v>
      </c>
      <c r="J172" t="str">
        <v/>
      </c>
      <c r="K172" t="str">
        <v>Q</v>
      </c>
      <c r="L172">
        <v>889</v>
      </c>
    </row>
    <row r="173" spans="1:12" x14ac:dyDescent="0.3">
      <c r="B173">
        <v>887</v>
      </c>
      <c r="C173">
        <v>0</v>
      </c>
      <c r="D173">
        <v>2</v>
      </c>
      <c r="E173" t="str">
        <v>Montvila, Rev. Juozas</v>
      </c>
      <c r="F173" t="str">
        <v>male</v>
      </c>
      <c r="G173" t="str">
        <v>...</v>
      </c>
      <c r="H173" t="str">
        <v>211536</v>
      </c>
      <c r="I173">
        <v>13</v>
      </c>
      <c r="J173" t="str">
        <v/>
      </c>
      <c r="K173" t="str">
        <v>S</v>
      </c>
      <c r="L173">
        <v>889</v>
      </c>
    </row>
    <row r="174" spans="1:12" x14ac:dyDescent="0.3">
      <c r="B174">
        <v>888</v>
      </c>
      <c r="C174">
        <v>1</v>
      </c>
      <c r="D174">
        <v>1</v>
      </c>
      <c r="E174" t="str">
        <v>Graham, Miss. Margaret Edith</v>
      </c>
      <c r="F174" t="str">
        <v>female</v>
      </c>
      <c r="G174" t="str">
        <v>...</v>
      </c>
      <c r="H174" t="str">
        <v>112053</v>
      </c>
      <c r="I174">
        <v>30</v>
      </c>
      <c r="J174" t="str">
        <v>B42</v>
      </c>
      <c r="K174" t="str">
        <v>S</v>
      </c>
      <c r="L174">
        <v>889</v>
      </c>
    </row>
    <row r="175" spans="1:12" x14ac:dyDescent="0.3">
      <c r="B175">
        <v>890</v>
      </c>
      <c r="C175">
        <v>1</v>
      </c>
      <c r="D175">
        <v>1</v>
      </c>
      <c r="E175" t="str">
        <v>Behr, Mr. Karl Howell</v>
      </c>
      <c r="F175" t="str">
        <v>male</v>
      </c>
      <c r="G175" t="str">
        <v>...</v>
      </c>
      <c r="H175" t="str">
        <v>111369</v>
      </c>
      <c r="I175">
        <v>30</v>
      </c>
      <c r="J175" t="str">
        <v>C148</v>
      </c>
      <c r="K175" t="str">
        <v>C</v>
      </c>
      <c r="L175">
        <v>891</v>
      </c>
    </row>
    <row r="176" spans="1:12" x14ac:dyDescent="0.3">
      <c r="B176">
        <v>891</v>
      </c>
      <c r="C176">
        <v>0</v>
      </c>
      <c r="D176">
        <v>3</v>
      </c>
      <c r="E176" t="str">
        <v>Dooley, Mr. Patrick</v>
      </c>
      <c r="F176" t="str">
        <v>male</v>
      </c>
      <c r="G176" t="str">
        <v>...</v>
      </c>
      <c r="H176" t="str">
        <v>370376</v>
      </c>
      <c r="I176">
        <v>7.75</v>
      </c>
      <c r="J176" t="str">
        <v/>
      </c>
      <c r="K176" t="str">
        <v>Q</v>
      </c>
      <c r="L176">
        <v>894</v>
      </c>
    </row>
    <row r="179" spans="1:12" x14ac:dyDescent="0.3">
      <c r="A179" s="20" t="e" cm="1" vm="43">
        <f t="array" ref="A179">_xlfn._xlws.PY(47,1)</f>
        <v>#VALUE!</v>
      </c>
      <c r="B179" t="str" cm="1">
        <f t="array" ref="B179:L190">_FV(A179,"arrayPreview")</f>
        <v>PassengerId</v>
      </c>
      <c r="C179" t="str">
        <v>Survived</v>
      </c>
      <c r="D179" t="str">
        <v>Pclass</v>
      </c>
      <c r="E179" t="str">
        <v>Name</v>
      </c>
      <c r="F179" t="str">
        <v>Sex</v>
      </c>
      <c r="G179" t="str">
        <v>...</v>
      </c>
      <c r="H179" t="str">
        <v>Ticket</v>
      </c>
      <c r="I179" t="str">
        <v>Fare</v>
      </c>
      <c r="J179" t="str">
        <v>Cabin</v>
      </c>
      <c r="K179" t="str">
        <v>Embarked</v>
      </c>
      <c r="L179" t="str">
        <v>new_col1</v>
      </c>
    </row>
    <row r="180" spans="1:12" x14ac:dyDescent="0.3">
      <c r="B180">
        <v>2</v>
      </c>
      <c r="C180">
        <v>1</v>
      </c>
      <c r="D180">
        <v>1</v>
      </c>
      <c r="E180" t="str">
        <v>Cumings, Mrs. John Bradley (Florence Briggs Thayer)</v>
      </c>
      <c r="F180" t="str">
        <v>female</v>
      </c>
      <c r="G180" t="str">
        <v>...</v>
      </c>
      <c r="H180" t="str">
        <v>PC 17599</v>
      </c>
      <c r="I180">
        <v>71.283299999999997</v>
      </c>
      <c r="J180" t="str">
        <v>C85</v>
      </c>
      <c r="K180" t="str">
        <v>C</v>
      </c>
      <c r="L180">
        <v>3</v>
      </c>
    </row>
    <row r="181" spans="1:12" x14ac:dyDescent="0.3">
      <c r="B181">
        <v>4</v>
      </c>
      <c r="C181">
        <v>1</v>
      </c>
      <c r="D181">
        <v>1</v>
      </c>
      <c r="E181" t="str">
        <v>Futrelle, Mrs. Jacques Heath (Lily May Peel)</v>
      </c>
      <c r="F181" t="str">
        <v>female</v>
      </c>
      <c r="G181" t="str">
        <v>...</v>
      </c>
      <c r="H181" t="str">
        <v>113803</v>
      </c>
      <c r="I181">
        <v>53.1</v>
      </c>
      <c r="J181" t="str">
        <v>C123</v>
      </c>
      <c r="K181" t="str">
        <v>S</v>
      </c>
      <c r="L181">
        <v>5</v>
      </c>
    </row>
    <row r="182" spans="1:12" x14ac:dyDescent="0.3">
      <c r="B182">
        <v>7</v>
      </c>
      <c r="C182">
        <v>0</v>
      </c>
      <c r="D182">
        <v>1</v>
      </c>
      <c r="E182" t="str">
        <v>McCarthy, Mr. Timothy J</v>
      </c>
      <c r="F182" t="str">
        <v>male</v>
      </c>
      <c r="G182" t="str">
        <v>...</v>
      </c>
      <c r="H182" t="str">
        <v>17463</v>
      </c>
      <c r="I182">
        <v>51.862499999999997</v>
      </c>
      <c r="J182" t="str">
        <v>E46</v>
      </c>
      <c r="K182" t="str">
        <v>S</v>
      </c>
      <c r="L182">
        <v>8</v>
      </c>
    </row>
    <row r="183" spans="1:12" x14ac:dyDescent="0.3">
      <c r="B183">
        <v>24</v>
      </c>
      <c r="C183">
        <v>1</v>
      </c>
      <c r="D183">
        <v>1</v>
      </c>
      <c r="E183" t="str">
        <v>Sloper, Mr. William Thompson</v>
      </c>
      <c r="F183" t="str">
        <v>male</v>
      </c>
      <c r="G183" t="str">
        <v>...</v>
      </c>
      <c r="H183" t="str">
        <v>113788</v>
      </c>
      <c r="I183">
        <v>35.5</v>
      </c>
      <c r="J183" t="str">
        <v>A6</v>
      </c>
      <c r="K183" t="str">
        <v>S</v>
      </c>
      <c r="L183">
        <v>25</v>
      </c>
    </row>
    <row r="184" spans="1:12" x14ac:dyDescent="0.3">
      <c r="B184">
        <v>28</v>
      </c>
      <c r="C184">
        <v>0</v>
      </c>
      <c r="D184">
        <v>1</v>
      </c>
      <c r="E184" t="str">
        <v>Fortune, Mr. Charles Alexander</v>
      </c>
      <c r="F184" t="str">
        <v>male</v>
      </c>
      <c r="G184" t="str">
        <v>...</v>
      </c>
      <c r="H184" t="str">
        <v>19950</v>
      </c>
      <c r="I184">
        <v>263</v>
      </c>
      <c r="J184" t="str">
        <v>C23 C25 C27</v>
      </c>
      <c r="K184" t="str">
        <v>S</v>
      </c>
      <c r="L184">
        <v>29</v>
      </c>
    </row>
    <row r="185" spans="1:12" x14ac:dyDescent="0.3">
      <c r="B185" t="str">
        <v>...</v>
      </c>
      <c r="C185" t="str">
        <v>...</v>
      </c>
      <c r="D185" t="str">
        <v>...</v>
      </c>
      <c r="E185" t="str">
        <v>...</v>
      </c>
      <c r="F185" t="str">
        <v>...</v>
      </c>
      <c r="G185" t="str">
        <v>...</v>
      </c>
      <c r="H185" t="str">
        <v>...</v>
      </c>
      <c r="I185" t="str">
        <v>...</v>
      </c>
      <c r="J185" t="str">
        <v>...</v>
      </c>
      <c r="K185" t="str">
        <v>...</v>
      </c>
      <c r="L185" t="str">
        <v>...</v>
      </c>
    </row>
    <row r="186" spans="1:12" x14ac:dyDescent="0.3">
      <c r="B186">
        <v>857</v>
      </c>
      <c r="C186">
        <v>1</v>
      </c>
      <c r="D186">
        <v>1</v>
      </c>
      <c r="E186" t="str">
        <v>Wick, Mrs. George Dennick (Mary Hitchcock)</v>
      </c>
      <c r="F186" t="str">
        <v>female</v>
      </c>
      <c r="G186" t="str">
        <v>...</v>
      </c>
      <c r="H186" t="str">
        <v>36928</v>
      </c>
      <c r="I186">
        <v>164.86670000000001</v>
      </c>
      <c r="J186" t="str">
        <v/>
      </c>
      <c r="K186" t="str">
        <v>S</v>
      </c>
      <c r="L186">
        <v>858</v>
      </c>
    </row>
    <row r="187" spans="1:12" x14ac:dyDescent="0.3">
      <c r="B187">
        <v>864</v>
      </c>
      <c r="C187">
        <v>0</v>
      </c>
      <c r="D187">
        <v>3</v>
      </c>
      <c r="E187" t="str">
        <v>Sage, Miss. Dorothy Edith "Dolly"</v>
      </c>
      <c r="F187" t="str">
        <v>female</v>
      </c>
      <c r="G187" t="str">
        <v>...</v>
      </c>
      <c r="H187" t="str">
        <v>CA. 2343</v>
      </c>
      <c r="I187">
        <v>69.55</v>
      </c>
      <c r="J187" t="str">
        <v/>
      </c>
      <c r="K187" t="str">
        <v>S</v>
      </c>
      <c r="L187">
        <v>867</v>
      </c>
    </row>
    <row r="188" spans="1:12" x14ac:dyDescent="0.3">
      <c r="B188">
        <v>868</v>
      </c>
      <c r="C188">
        <v>0</v>
      </c>
      <c r="D188">
        <v>1</v>
      </c>
      <c r="E188" t="str">
        <v>Roebling, Mr. Washington Augustus II</v>
      </c>
      <c r="F188" t="str">
        <v>male</v>
      </c>
      <c r="G188" t="str">
        <v>...</v>
      </c>
      <c r="H188" t="str">
        <v>PC 17590</v>
      </c>
      <c r="I188">
        <v>50.495800000000003</v>
      </c>
      <c r="J188" t="str">
        <v>A24</v>
      </c>
      <c r="K188" t="str">
        <v>S</v>
      </c>
      <c r="L188">
        <v>869</v>
      </c>
    </row>
    <row r="189" spans="1:12" x14ac:dyDescent="0.3">
      <c r="B189">
        <v>872</v>
      </c>
      <c r="C189">
        <v>1</v>
      </c>
      <c r="D189">
        <v>1</v>
      </c>
      <c r="E189" t="str">
        <v>Beckwith, Mrs. Richard Leonard (Sallie Monypeny)</v>
      </c>
      <c r="F189" t="str">
        <v>female</v>
      </c>
      <c r="G189" t="str">
        <v>...</v>
      </c>
      <c r="H189" t="str">
        <v>11751</v>
      </c>
      <c r="I189">
        <v>52.554200000000002</v>
      </c>
      <c r="J189" t="str">
        <v>D35</v>
      </c>
      <c r="K189" t="str">
        <v>S</v>
      </c>
      <c r="L189">
        <v>873</v>
      </c>
    </row>
    <row r="190" spans="1:12" x14ac:dyDescent="0.3">
      <c r="B190">
        <v>880</v>
      </c>
      <c r="C190">
        <v>1</v>
      </c>
      <c r="D190">
        <v>1</v>
      </c>
      <c r="E190" t="str">
        <v>Potter, Mrs. Thomas Jr (Lily Alexenia Wilson)</v>
      </c>
      <c r="F190" t="str">
        <v>female</v>
      </c>
      <c r="G190" t="str">
        <v>...</v>
      </c>
      <c r="H190" t="str">
        <v>11767</v>
      </c>
      <c r="I190">
        <v>83.158299999999997</v>
      </c>
      <c r="J190" t="str">
        <v>C50</v>
      </c>
      <c r="K190" t="str">
        <v>C</v>
      </c>
      <c r="L190">
        <v>881</v>
      </c>
    </row>
    <row r="192" spans="1:12" x14ac:dyDescent="0.3">
      <c r="A192" s="20" t="e" cm="1" vm="44">
        <f t="array" ref="A192">_xlfn._xlws.PY(48,1)</f>
        <v>#VALUE!</v>
      </c>
      <c r="B192" t="str" cm="1">
        <f t="array" ref="B192:L203">_FV(A192,"arrayPreview")</f>
        <v>PassengerId</v>
      </c>
      <c r="C192" t="str">
        <v>Survived</v>
      </c>
      <c r="D192" t="str">
        <v>Pclass</v>
      </c>
      <c r="E192" t="str">
        <v>Name</v>
      </c>
      <c r="F192" t="str">
        <v>Sex</v>
      </c>
      <c r="G192" t="str">
        <v>...</v>
      </c>
      <c r="H192" t="str">
        <v>Ticket</v>
      </c>
      <c r="I192" t="str">
        <v>Fare</v>
      </c>
      <c r="J192" t="str">
        <v>Cabin</v>
      </c>
      <c r="K192" t="str">
        <v>Embarked</v>
      </c>
      <c r="L192" t="str">
        <v>new_col1</v>
      </c>
    </row>
    <row r="193" spans="1:12" x14ac:dyDescent="0.3">
      <c r="B193">
        <v>180</v>
      </c>
      <c r="C193">
        <v>0</v>
      </c>
      <c r="D193">
        <v>3</v>
      </c>
      <c r="E193" t="str">
        <v>Leonard, Mr. Lionel</v>
      </c>
      <c r="F193" t="str">
        <v>male</v>
      </c>
      <c r="G193" t="str">
        <v>...</v>
      </c>
      <c r="H193" t="str">
        <v>LINE</v>
      </c>
      <c r="I193">
        <v>0</v>
      </c>
      <c r="J193" t="str">
        <v/>
      </c>
      <c r="K193" t="str">
        <v>S</v>
      </c>
      <c r="L193">
        <v>183</v>
      </c>
    </row>
    <row r="194" spans="1:12" x14ac:dyDescent="0.3">
      <c r="B194">
        <v>264</v>
      </c>
      <c r="C194">
        <v>0</v>
      </c>
      <c r="D194">
        <v>1</v>
      </c>
      <c r="E194" t="str">
        <v>Harrison, Mr. William</v>
      </c>
      <c r="F194" t="str">
        <v>male</v>
      </c>
      <c r="G194" t="str">
        <v>...</v>
      </c>
      <c r="H194" t="str">
        <v>112059</v>
      </c>
      <c r="I194">
        <v>0</v>
      </c>
      <c r="J194" t="str">
        <v>B94</v>
      </c>
      <c r="K194" t="str">
        <v>S</v>
      </c>
      <c r="L194">
        <v>265</v>
      </c>
    </row>
    <row r="195" spans="1:12" x14ac:dyDescent="0.3">
      <c r="B195">
        <v>272</v>
      </c>
      <c r="C195">
        <v>1</v>
      </c>
      <c r="D195">
        <v>3</v>
      </c>
      <c r="E195" t="str">
        <v>Tornquist, Mr. William Henry</v>
      </c>
      <c r="F195" t="str">
        <v>male</v>
      </c>
      <c r="G195" t="str">
        <v>...</v>
      </c>
      <c r="H195" t="str">
        <v>LINE</v>
      </c>
      <c r="I195">
        <v>0</v>
      </c>
      <c r="J195" t="str">
        <v/>
      </c>
      <c r="K195" t="str">
        <v>S</v>
      </c>
      <c r="L195">
        <v>275</v>
      </c>
    </row>
    <row r="196" spans="1:12" x14ac:dyDescent="0.3">
      <c r="B196">
        <v>278</v>
      </c>
      <c r="C196">
        <v>0</v>
      </c>
      <c r="D196">
        <v>2</v>
      </c>
      <c r="E196" t="str">
        <v>Parkes, Mr. Francis "Frank"</v>
      </c>
      <c r="F196" t="str">
        <v>male</v>
      </c>
      <c r="G196" t="str">
        <v>...</v>
      </c>
      <c r="H196" t="str">
        <v>239853</v>
      </c>
      <c r="I196">
        <v>0</v>
      </c>
      <c r="J196" t="str">
        <v/>
      </c>
      <c r="K196" t="str">
        <v>S</v>
      </c>
      <c r="L196">
        <v>280</v>
      </c>
    </row>
    <row r="197" spans="1:12" x14ac:dyDescent="0.3">
      <c r="B197">
        <v>303</v>
      </c>
      <c r="C197">
        <v>0</v>
      </c>
      <c r="D197">
        <v>3</v>
      </c>
      <c r="E197" t="str">
        <v>Johnson, Mr. William Cahoone Jr</v>
      </c>
      <c r="F197" t="str">
        <v>male</v>
      </c>
      <c r="G197" t="str">
        <v>...</v>
      </c>
      <c r="H197" t="str">
        <v>LINE</v>
      </c>
      <c r="I197">
        <v>0</v>
      </c>
      <c r="J197" t="str">
        <v/>
      </c>
      <c r="K197" t="str">
        <v>S</v>
      </c>
      <c r="L197">
        <v>306</v>
      </c>
    </row>
    <row r="198" spans="1:12" x14ac:dyDescent="0.3">
      <c r="B198" t="str">
        <v>...</v>
      </c>
      <c r="C198" t="str">
        <v>...</v>
      </c>
      <c r="D198" t="str">
        <v>...</v>
      </c>
      <c r="E198" t="str">
        <v>...</v>
      </c>
      <c r="F198" t="str">
        <v>...</v>
      </c>
      <c r="G198" t="str">
        <v>...</v>
      </c>
      <c r="H198" t="str">
        <v>...</v>
      </c>
      <c r="I198" t="str">
        <v>...</v>
      </c>
      <c r="J198" t="str">
        <v>...</v>
      </c>
      <c r="K198" t="str">
        <v>...</v>
      </c>
      <c r="L198" t="str">
        <v>...</v>
      </c>
    </row>
    <row r="199" spans="1:12" x14ac:dyDescent="0.3">
      <c r="B199">
        <v>675</v>
      </c>
      <c r="C199">
        <v>0</v>
      </c>
      <c r="D199">
        <v>2</v>
      </c>
      <c r="E199" t="str">
        <v>Watson, Mr. Ennis Hastings</v>
      </c>
      <c r="F199" t="str">
        <v>male</v>
      </c>
      <c r="G199" t="str">
        <v>...</v>
      </c>
      <c r="H199" t="str">
        <v>239856</v>
      </c>
      <c r="I199">
        <v>0</v>
      </c>
      <c r="J199" t="str">
        <v/>
      </c>
      <c r="K199" t="str">
        <v>S</v>
      </c>
      <c r="L199">
        <v>677</v>
      </c>
    </row>
    <row r="200" spans="1:12" x14ac:dyDescent="0.3">
      <c r="B200">
        <v>733</v>
      </c>
      <c r="C200">
        <v>0</v>
      </c>
      <c r="D200">
        <v>2</v>
      </c>
      <c r="E200" t="str">
        <v>Knight, Mr. Robert J</v>
      </c>
      <c r="F200" t="str">
        <v>male</v>
      </c>
      <c r="G200" t="str">
        <v>...</v>
      </c>
      <c r="H200" t="str">
        <v>239855</v>
      </c>
      <c r="I200">
        <v>0</v>
      </c>
      <c r="J200" t="str">
        <v/>
      </c>
      <c r="K200" t="str">
        <v>S</v>
      </c>
      <c r="L200">
        <v>735</v>
      </c>
    </row>
    <row r="201" spans="1:12" x14ac:dyDescent="0.3">
      <c r="B201">
        <v>807</v>
      </c>
      <c r="C201">
        <v>0</v>
      </c>
      <c r="D201">
        <v>1</v>
      </c>
      <c r="E201" t="str">
        <v>Andrews, Mr. Thomas Jr</v>
      </c>
      <c r="F201" t="str">
        <v>male</v>
      </c>
      <c r="G201" t="str">
        <v>...</v>
      </c>
      <c r="H201" t="str">
        <v>112050</v>
      </c>
      <c r="I201">
        <v>0</v>
      </c>
      <c r="J201" t="str">
        <v>A36</v>
      </c>
      <c r="K201" t="str">
        <v>S</v>
      </c>
      <c r="L201">
        <v>808</v>
      </c>
    </row>
    <row r="202" spans="1:12" x14ac:dyDescent="0.3">
      <c r="B202">
        <v>816</v>
      </c>
      <c r="C202">
        <v>0</v>
      </c>
      <c r="D202">
        <v>1</v>
      </c>
      <c r="E202" t="str">
        <v>Fry, Mr. Richard</v>
      </c>
      <c r="F202" t="str">
        <v>male</v>
      </c>
      <c r="G202" t="str">
        <v>...</v>
      </c>
      <c r="H202" t="str">
        <v>112058</v>
      </c>
      <c r="I202">
        <v>0</v>
      </c>
      <c r="J202" t="str">
        <v>B102</v>
      </c>
      <c r="K202" t="str">
        <v>S</v>
      </c>
      <c r="L202">
        <v>817</v>
      </c>
    </row>
    <row r="203" spans="1:12" x14ac:dyDescent="0.3">
      <c r="B203">
        <v>823</v>
      </c>
      <c r="C203">
        <v>0</v>
      </c>
      <c r="D203">
        <v>1</v>
      </c>
      <c r="E203" t="str">
        <v>Reuchlin, Jonkheer. John George</v>
      </c>
      <c r="F203" t="str">
        <v>male</v>
      </c>
      <c r="G203" t="str">
        <v>...</v>
      </c>
      <c r="H203" t="str">
        <v>19972</v>
      </c>
      <c r="I203">
        <v>0</v>
      </c>
      <c r="J203" t="str">
        <v/>
      </c>
      <c r="K203" t="str">
        <v>S</v>
      </c>
      <c r="L203">
        <v>824</v>
      </c>
    </row>
    <row r="206" spans="1:12" x14ac:dyDescent="0.3">
      <c r="A206" s="20" t="e" cm="1" vm="45">
        <f t="array" ref="A206">_xlfn._xlws.PY(49,1)</f>
        <v>#VALUE!</v>
      </c>
      <c r="B206" t="str" cm="1">
        <f t="array" ref="B206:L217">_FV(A206,"arrayPreview")</f>
        <v>PassengerId</v>
      </c>
      <c r="C206" t="str">
        <v>Survived</v>
      </c>
      <c r="D206" t="str">
        <v>Pclass</v>
      </c>
      <c r="E206" t="str">
        <v>Name</v>
      </c>
      <c r="F206" t="str">
        <v>Sex</v>
      </c>
      <c r="G206" t="str">
        <v>...</v>
      </c>
      <c r="H206" t="str">
        <v>Ticket</v>
      </c>
      <c r="I206" t="str">
        <v>Fare</v>
      </c>
      <c r="J206" t="str">
        <v>Cabin</v>
      </c>
      <c r="K206" t="str">
        <v>Embarked</v>
      </c>
      <c r="L206" t="str">
        <v>new_col1</v>
      </c>
    </row>
    <row r="207" spans="1:12" x14ac:dyDescent="0.3">
      <c r="B207">
        <v>1</v>
      </c>
      <c r="C207">
        <v>0</v>
      </c>
      <c r="D207">
        <v>3</v>
      </c>
      <c r="E207" t="str">
        <v>Braund, Mr. Owen Harris</v>
      </c>
      <c r="F207" t="str">
        <v>male</v>
      </c>
      <c r="G207" t="str">
        <v>...</v>
      </c>
      <c r="H207" t="str">
        <v>A/5 21171</v>
      </c>
      <c r="I207">
        <v>7.25</v>
      </c>
      <c r="J207" t="str">
        <v/>
      </c>
      <c r="K207" t="str">
        <v>S</v>
      </c>
      <c r="L207">
        <v>4</v>
      </c>
    </row>
    <row r="208" spans="1:12" x14ac:dyDescent="0.3">
      <c r="B208">
        <v>5</v>
      </c>
      <c r="C208">
        <v>0</v>
      </c>
      <c r="D208">
        <v>3</v>
      </c>
      <c r="E208" t="str">
        <v>Allen, Mr. William Henry</v>
      </c>
      <c r="F208" t="str">
        <v>male</v>
      </c>
      <c r="G208" t="str">
        <v>...</v>
      </c>
      <c r="H208" t="str">
        <v>373450</v>
      </c>
      <c r="I208">
        <v>8.0500000000000007</v>
      </c>
      <c r="J208" t="str">
        <v/>
      </c>
      <c r="K208" t="str">
        <v>S</v>
      </c>
      <c r="L208">
        <v>8</v>
      </c>
    </row>
    <row r="209" spans="1:12" x14ac:dyDescent="0.3">
      <c r="B209">
        <v>6</v>
      </c>
      <c r="C209">
        <v>0</v>
      </c>
      <c r="D209">
        <v>3</v>
      </c>
      <c r="E209" t="str">
        <v>Moran, Mr. James</v>
      </c>
      <c r="F209" t="str">
        <v>male</v>
      </c>
      <c r="G209" t="str">
        <v>...</v>
      </c>
      <c r="H209" t="str">
        <v>330877</v>
      </c>
      <c r="I209">
        <v>8.4582999999999995</v>
      </c>
      <c r="J209" t="str">
        <v/>
      </c>
      <c r="K209" t="str">
        <v>Q</v>
      </c>
      <c r="L209">
        <v>9</v>
      </c>
    </row>
    <row r="210" spans="1:12" x14ac:dyDescent="0.3">
      <c r="B210">
        <v>7</v>
      </c>
      <c r="C210">
        <v>0</v>
      </c>
      <c r="D210">
        <v>1</v>
      </c>
      <c r="E210" t="str">
        <v>McCarthy, Mr. Timothy J</v>
      </c>
      <c r="F210" t="str">
        <v>male</v>
      </c>
      <c r="G210" t="str">
        <v>...</v>
      </c>
      <c r="H210" t="str">
        <v>17463</v>
      </c>
      <c r="I210">
        <v>51.862499999999997</v>
      </c>
      <c r="J210" t="str">
        <v>E46</v>
      </c>
      <c r="K210" t="str">
        <v>S</v>
      </c>
      <c r="L210">
        <v>8</v>
      </c>
    </row>
    <row r="211" spans="1:12" x14ac:dyDescent="0.3">
      <c r="B211">
        <v>8</v>
      </c>
      <c r="C211">
        <v>0</v>
      </c>
      <c r="D211">
        <v>3</v>
      </c>
      <c r="E211" t="str">
        <v>Palsson, Master. Gosta Leonard</v>
      </c>
      <c r="F211" t="str">
        <v>male</v>
      </c>
      <c r="G211" t="str">
        <v>...</v>
      </c>
      <c r="H211" t="str">
        <v>349909</v>
      </c>
      <c r="I211">
        <v>21.074999999999999</v>
      </c>
      <c r="J211" t="str">
        <v/>
      </c>
      <c r="K211" t="str">
        <v>S</v>
      </c>
      <c r="L211">
        <v>11</v>
      </c>
    </row>
    <row r="212" spans="1:12" x14ac:dyDescent="0.3">
      <c r="B212" t="str">
        <v>...</v>
      </c>
      <c r="C212" t="str">
        <v>...</v>
      </c>
      <c r="D212" t="str">
        <v>...</v>
      </c>
      <c r="E212" t="str">
        <v>...</v>
      </c>
      <c r="F212" t="str">
        <v>...</v>
      </c>
      <c r="G212" t="str">
        <v>...</v>
      </c>
      <c r="H212" t="str">
        <v>...</v>
      </c>
      <c r="I212" t="str">
        <v>...</v>
      </c>
      <c r="J212" t="str">
        <v>...</v>
      </c>
      <c r="K212" t="str">
        <v>...</v>
      </c>
      <c r="L212" t="str">
        <v>...</v>
      </c>
    </row>
    <row r="213" spans="1:12" x14ac:dyDescent="0.3">
      <c r="B213">
        <v>884</v>
      </c>
      <c r="C213">
        <v>0</v>
      </c>
      <c r="D213">
        <v>2</v>
      </c>
      <c r="E213" t="str">
        <v>Banfield, Mr. Frederick James</v>
      </c>
      <c r="F213" t="str">
        <v>male</v>
      </c>
      <c r="G213" t="str">
        <v>...</v>
      </c>
      <c r="H213" t="str">
        <v>C.A./SOTON 34068</v>
      </c>
      <c r="I213">
        <v>10.5</v>
      </c>
      <c r="J213" t="str">
        <v/>
      </c>
      <c r="K213" t="str">
        <v>S</v>
      </c>
      <c r="L213">
        <v>886</v>
      </c>
    </row>
    <row r="214" spans="1:12" x14ac:dyDescent="0.3">
      <c r="B214">
        <v>885</v>
      </c>
      <c r="C214">
        <v>0</v>
      </c>
      <c r="D214">
        <v>3</v>
      </c>
      <c r="E214" t="str">
        <v>Sutehall, Mr. Henry Jr</v>
      </c>
      <c r="F214" t="str">
        <v>male</v>
      </c>
      <c r="G214" t="str">
        <v>...</v>
      </c>
      <c r="H214" t="str">
        <v>SOTON/OQ 392076</v>
      </c>
      <c r="I214">
        <v>7.05</v>
      </c>
      <c r="J214" t="str">
        <v/>
      </c>
      <c r="K214" t="str">
        <v>S</v>
      </c>
      <c r="L214">
        <v>888</v>
      </c>
    </row>
    <row r="215" spans="1:12" x14ac:dyDescent="0.3">
      <c r="B215">
        <v>887</v>
      </c>
      <c r="C215">
        <v>0</v>
      </c>
      <c r="D215">
        <v>2</v>
      </c>
      <c r="E215" t="str">
        <v>Montvila, Rev. Juozas</v>
      </c>
      <c r="F215" t="str">
        <v>male</v>
      </c>
      <c r="G215" t="str">
        <v>...</v>
      </c>
      <c r="H215" t="str">
        <v>211536</v>
      </c>
      <c r="I215">
        <v>13</v>
      </c>
      <c r="J215" t="str">
        <v/>
      </c>
      <c r="K215" t="str">
        <v>S</v>
      </c>
      <c r="L215">
        <v>889</v>
      </c>
    </row>
    <row r="216" spans="1:12" x14ac:dyDescent="0.3">
      <c r="B216">
        <v>890</v>
      </c>
      <c r="C216">
        <v>1</v>
      </c>
      <c r="D216">
        <v>1</v>
      </c>
      <c r="E216" t="str">
        <v>Behr, Mr. Karl Howell</v>
      </c>
      <c r="F216" t="str">
        <v>male</v>
      </c>
      <c r="G216" t="str">
        <v>...</v>
      </c>
      <c r="H216" t="str">
        <v>111369</v>
      </c>
      <c r="I216">
        <v>30</v>
      </c>
      <c r="J216" t="str">
        <v>C148</v>
      </c>
      <c r="K216" t="str">
        <v>C</v>
      </c>
      <c r="L216">
        <v>891</v>
      </c>
    </row>
    <row r="217" spans="1:12" x14ac:dyDescent="0.3">
      <c r="B217">
        <v>891</v>
      </c>
      <c r="C217">
        <v>0</v>
      </c>
      <c r="D217">
        <v>3</v>
      </c>
      <c r="E217" t="str">
        <v>Dooley, Mr. Patrick</v>
      </c>
      <c r="F217" t="str">
        <v>male</v>
      </c>
      <c r="G217" t="str">
        <v>...</v>
      </c>
      <c r="H217" t="str">
        <v>370376</v>
      </c>
      <c r="I217">
        <v>7.75</v>
      </c>
      <c r="J217" t="str">
        <v/>
      </c>
      <c r="K217" t="str">
        <v>Q</v>
      </c>
      <c r="L217">
        <v>894</v>
      </c>
    </row>
    <row r="220" spans="1:12" x14ac:dyDescent="0.3">
      <c r="A220" s="20" t="e" cm="1" vm="46">
        <f t="array" ref="A220">_xlfn._xlws.PY(50,1)</f>
        <v>#VALUE!</v>
      </c>
      <c r="B220" t="str" cm="1">
        <f t="array" ref="B220:L231">_FV(A220,"arrayPreview")</f>
        <v>PassengerId</v>
      </c>
      <c r="C220" t="str">
        <v>Survived</v>
      </c>
      <c r="D220" t="str">
        <v>Pclass</v>
      </c>
      <c r="E220" t="str">
        <v>Name</v>
      </c>
      <c r="F220" t="str">
        <v>Sex</v>
      </c>
      <c r="G220" t="str">
        <v>...</v>
      </c>
      <c r="H220" t="str">
        <v>Ticket</v>
      </c>
      <c r="I220" t="str">
        <v>Fare</v>
      </c>
      <c r="J220" t="str">
        <v>Cabin</v>
      </c>
      <c r="K220" t="str">
        <v>Embarked</v>
      </c>
      <c r="L220" t="str">
        <v>new_col1</v>
      </c>
    </row>
    <row r="221" spans="1:12" x14ac:dyDescent="0.3">
      <c r="B221">
        <v>2</v>
      </c>
      <c r="C221">
        <v>1</v>
      </c>
      <c r="D221">
        <v>1</v>
      </c>
      <c r="E221" t="str">
        <v>Cumings, Mrs. John Bradley (Florence Briggs Thayer)</v>
      </c>
      <c r="F221" t="str">
        <v>female</v>
      </c>
      <c r="G221" t="str">
        <v>...</v>
      </c>
      <c r="H221" t="str">
        <v>PC 17599</v>
      </c>
      <c r="I221">
        <v>71.283299999999997</v>
      </c>
      <c r="J221" t="str">
        <v>C85</v>
      </c>
      <c r="K221" t="str">
        <v>C</v>
      </c>
      <c r="L221">
        <v>3</v>
      </c>
    </row>
    <row r="222" spans="1:12" x14ac:dyDescent="0.3">
      <c r="B222">
        <v>3</v>
      </c>
      <c r="C222">
        <v>1</v>
      </c>
      <c r="D222">
        <v>3</v>
      </c>
      <c r="E222" t="str">
        <v>Heikkinen, Miss. Laina</v>
      </c>
      <c r="F222" t="str">
        <v>female</v>
      </c>
      <c r="G222" t="str">
        <v>...</v>
      </c>
      <c r="H222" t="str">
        <v>STON/O2. 3101282</v>
      </c>
      <c r="I222">
        <v>7.9249999999999998</v>
      </c>
      <c r="J222" t="str">
        <v/>
      </c>
      <c r="K222" t="str">
        <v>S</v>
      </c>
      <c r="L222">
        <v>6</v>
      </c>
    </row>
    <row r="223" spans="1:12" x14ac:dyDescent="0.3">
      <c r="B223">
        <v>4</v>
      </c>
      <c r="C223">
        <v>1</v>
      </c>
      <c r="D223">
        <v>1</v>
      </c>
      <c r="E223" t="str">
        <v>Futrelle, Mrs. Jacques Heath (Lily May Peel)</v>
      </c>
      <c r="F223" t="str">
        <v>female</v>
      </c>
      <c r="G223" t="str">
        <v>...</v>
      </c>
      <c r="H223" t="str">
        <v>113803</v>
      </c>
      <c r="I223">
        <v>53.1</v>
      </c>
      <c r="J223" t="str">
        <v>C123</v>
      </c>
      <c r="K223" t="str">
        <v>S</v>
      </c>
      <c r="L223">
        <v>5</v>
      </c>
    </row>
    <row r="224" spans="1:12" x14ac:dyDescent="0.3">
      <c r="B224">
        <v>9</v>
      </c>
      <c r="C224">
        <v>1</v>
      </c>
      <c r="D224">
        <v>3</v>
      </c>
      <c r="E224" t="str">
        <v>Johnson, Mrs. Oscar W (Elisabeth Vilhelmina Berg)</v>
      </c>
      <c r="F224" t="str">
        <v>female</v>
      </c>
      <c r="G224" t="str">
        <v>...</v>
      </c>
      <c r="H224" t="str">
        <v>347742</v>
      </c>
      <c r="I224">
        <v>11.1333</v>
      </c>
      <c r="J224" t="str">
        <v/>
      </c>
      <c r="K224" t="str">
        <v>S</v>
      </c>
      <c r="L224">
        <v>12</v>
      </c>
    </row>
    <row r="225" spans="1:12" x14ac:dyDescent="0.3">
      <c r="B225">
        <v>10</v>
      </c>
      <c r="C225">
        <v>1</v>
      </c>
      <c r="D225">
        <v>2</v>
      </c>
      <c r="E225" t="str">
        <v>Nasser, Mrs. Nicholas (Adele Achem)</v>
      </c>
      <c r="F225" t="str">
        <v>female</v>
      </c>
      <c r="G225" t="str">
        <v>...</v>
      </c>
      <c r="H225" t="str">
        <v>237736</v>
      </c>
      <c r="I225">
        <v>30.070799999999998</v>
      </c>
      <c r="J225" t="str">
        <v/>
      </c>
      <c r="K225" t="str">
        <v>C</v>
      </c>
      <c r="L225">
        <v>12</v>
      </c>
    </row>
    <row r="226" spans="1:12" x14ac:dyDescent="0.3">
      <c r="B226" t="str">
        <v>...</v>
      </c>
      <c r="C226" t="str">
        <v>...</v>
      </c>
      <c r="D226" t="str">
        <v>...</v>
      </c>
      <c r="E226" t="str">
        <v>...</v>
      </c>
      <c r="F226" t="str">
        <v>...</v>
      </c>
      <c r="G226" t="str">
        <v>...</v>
      </c>
      <c r="H226" t="str">
        <v>...</v>
      </c>
      <c r="I226" t="str">
        <v>...</v>
      </c>
      <c r="J226" t="str">
        <v>...</v>
      </c>
      <c r="K226" t="str">
        <v>...</v>
      </c>
      <c r="L226" t="str">
        <v>...</v>
      </c>
    </row>
    <row r="227" spans="1:12" x14ac:dyDescent="0.3">
      <c r="B227">
        <v>881</v>
      </c>
      <c r="C227">
        <v>1</v>
      </c>
      <c r="D227">
        <v>2</v>
      </c>
      <c r="E227" t="str">
        <v>Shelley, Mrs. William (Imanita Parrish Hall)</v>
      </c>
      <c r="F227" t="str">
        <v>female</v>
      </c>
      <c r="G227" t="str">
        <v>...</v>
      </c>
      <c r="H227" t="str">
        <v>230433</v>
      </c>
      <c r="I227">
        <v>26</v>
      </c>
      <c r="J227" t="str">
        <v/>
      </c>
      <c r="K227" t="str">
        <v>S</v>
      </c>
      <c r="L227">
        <v>883</v>
      </c>
    </row>
    <row r="228" spans="1:12" x14ac:dyDescent="0.3">
      <c r="B228">
        <v>883</v>
      </c>
      <c r="C228">
        <v>0</v>
      </c>
      <c r="D228">
        <v>3</v>
      </c>
      <c r="E228" t="str">
        <v>Dahlberg, Miss. Gerda Ulrika</v>
      </c>
      <c r="F228" t="str">
        <v>female</v>
      </c>
      <c r="G228" t="str">
        <v>...</v>
      </c>
      <c r="H228" t="str">
        <v>7552</v>
      </c>
      <c r="I228">
        <v>10.5167</v>
      </c>
      <c r="J228" t="str">
        <v/>
      </c>
      <c r="K228" t="str">
        <v>S</v>
      </c>
      <c r="L228">
        <v>886</v>
      </c>
    </row>
    <row r="229" spans="1:12" x14ac:dyDescent="0.3">
      <c r="B229">
        <v>886</v>
      </c>
      <c r="C229">
        <v>0</v>
      </c>
      <c r="D229">
        <v>3</v>
      </c>
      <c r="E229" t="str">
        <v>Rice, Mrs. William (Margaret Norton)</v>
      </c>
      <c r="F229" t="str">
        <v>female</v>
      </c>
      <c r="G229" t="str">
        <v>...</v>
      </c>
      <c r="H229" t="str">
        <v>382652</v>
      </c>
      <c r="I229">
        <v>29.125</v>
      </c>
      <c r="J229" t="str">
        <v/>
      </c>
      <c r="K229" t="str">
        <v>Q</v>
      </c>
      <c r="L229">
        <v>889</v>
      </c>
    </row>
    <row r="230" spans="1:12" x14ac:dyDescent="0.3">
      <c r="B230">
        <v>888</v>
      </c>
      <c r="C230">
        <v>1</v>
      </c>
      <c r="D230">
        <v>1</v>
      </c>
      <c r="E230" t="str">
        <v>Graham, Miss. Margaret Edith</v>
      </c>
      <c r="F230" t="str">
        <v>female</v>
      </c>
      <c r="G230" t="str">
        <v>...</v>
      </c>
      <c r="H230" t="str">
        <v>112053</v>
      </c>
      <c r="I230">
        <v>30</v>
      </c>
      <c r="J230" t="str">
        <v>B42</v>
      </c>
      <c r="K230" t="str">
        <v>S</v>
      </c>
      <c r="L230">
        <v>889</v>
      </c>
    </row>
    <row r="231" spans="1:12" x14ac:dyDescent="0.3">
      <c r="B231">
        <v>889</v>
      </c>
      <c r="C231">
        <v>0</v>
      </c>
      <c r="D231">
        <v>3</v>
      </c>
      <c r="E231" t="str">
        <v>Johnston, Miss. Catherine Helen "Carrie"</v>
      </c>
      <c r="F231" t="str">
        <v>female</v>
      </c>
      <c r="G231" t="str">
        <v>...</v>
      </c>
      <c r="H231" t="str">
        <v>W./C. 6607</v>
      </c>
      <c r="I231">
        <v>23.45</v>
      </c>
      <c r="J231" t="str">
        <v/>
      </c>
      <c r="K231" t="str">
        <v>S</v>
      </c>
      <c r="L231">
        <v>892</v>
      </c>
    </row>
    <row r="234" spans="1:12" x14ac:dyDescent="0.3">
      <c r="A234" s="20" t="e" cm="1" vm="47">
        <f t="array" ref="A234">_xlfn._xlws.PY(51,1)</f>
        <v>#VALUE!</v>
      </c>
      <c r="B234" t="str" cm="1">
        <f t="array" ref="B234:L245">_FV(A234,"arrayPreview")</f>
        <v>PassengerId</v>
      </c>
      <c r="C234" t="str">
        <v>Survived</v>
      </c>
      <c r="D234" t="str">
        <v>Pclass</v>
      </c>
      <c r="E234" t="str">
        <v>Name</v>
      </c>
      <c r="F234" t="str">
        <v>Sex</v>
      </c>
      <c r="G234" t="str">
        <v>...</v>
      </c>
      <c r="H234" t="str">
        <v>Ticket</v>
      </c>
      <c r="I234" t="str">
        <v>Fare</v>
      </c>
      <c r="J234" t="str">
        <v>Cabin</v>
      </c>
      <c r="K234" t="str">
        <v>Embarked</v>
      </c>
      <c r="L234" t="str">
        <v>new_col1</v>
      </c>
    </row>
    <row r="235" spans="1:12" x14ac:dyDescent="0.3">
      <c r="B235">
        <v>2</v>
      </c>
      <c r="C235">
        <v>1</v>
      </c>
      <c r="D235">
        <v>1</v>
      </c>
      <c r="E235" t="str">
        <v>Cumings, Mrs. John Bradley (Florence Briggs Thayer)</v>
      </c>
      <c r="F235" t="str">
        <v>female</v>
      </c>
      <c r="G235" t="str">
        <v>...</v>
      </c>
      <c r="H235" t="str">
        <v>PC 17599</v>
      </c>
      <c r="I235">
        <v>71.283299999999997</v>
      </c>
      <c r="J235" t="str">
        <v>C85</v>
      </c>
      <c r="K235" t="str">
        <v>C</v>
      </c>
      <c r="L235">
        <v>3</v>
      </c>
    </row>
    <row r="236" spans="1:12" x14ac:dyDescent="0.3">
      <c r="B236">
        <v>4</v>
      </c>
      <c r="C236">
        <v>1</v>
      </c>
      <c r="D236">
        <v>1</v>
      </c>
      <c r="E236" t="str">
        <v>Futrelle, Mrs. Jacques Heath (Lily May Peel)</v>
      </c>
      <c r="F236" t="str">
        <v>female</v>
      </c>
      <c r="G236" t="str">
        <v>...</v>
      </c>
      <c r="H236" t="str">
        <v>113803</v>
      </c>
      <c r="I236">
        <v>53.1</v>
      </c>
      <c r="J236" t="str">
        <v>C123</v>
      </c>
      <c r="K236" t="str">
        <v>S</v>
      </c>
      <c r="L236">
        <v>5</v>
      </c>
    </row>
    <row r="237" spans="1:12" x14ac:dyDescent="0.3">
      <c r="B237">
        <v>7</v>
      </c>
      <c r="C237">
        <v>0</v>
      </c>
      <c r="D237">
        <v>1</v>
      </c>
      <c r="E237" t="str">
        <v>McCarthy, Mr. Timothy J</v>
      </c>
      <c r="F237" t="str">
        <v>male</v>
      </c>
      <c r="G237" t="str">
        <v>...</v>
      </c>
      <c r="H237" t="str">
        <v>17463</v>
      </c>
      <c r="I237">
        <v>51.862499999999997</v>
      </c>
      <c r="J237" t="str">
        <v>E46</v>
      </c>
      <c r="K237" t="str">
        <v>S</v>
      </c>
      <c r="L237">
        <v>8</v>
      </c>
    </row>
    <row r="238" spans="1:12" x14ac:dyDescent="0.3">
      <c r="B238">
        <v>12</v>
      </c>
      <c r="C238">
        <v>1</v>
      </c>
      <c r="D238">
        <v>1</v>
      </c>
      <c r="E238" t="str">
        <v>Bonnell, Miss. Elizabeth</v>
      </c>
      <c r="F238" t="str">
        <v>female</v>
      </c>
      <c r="G238" t="str">
        <v>...</v>
      </c>
      <c r="H238" t="str">
        <v>113783</v>
      </c>
      <c r="I238">
        <v>26.55</v>
      </c>
      <c r="J238" t="str">
        <v>C103</v>
      </c>
      <c r="K238" t="str">
        <v>S</v>
      </c>
      <c r="L238">
        <v>13</v>
      </c>
    </row>
    <row r="239" spans="1:12" x14ac:dyDescent="0.3">
      <c r="B239">
        <v>24</v>
      </c>
      <c r="C239">
        <v>1</v>
      </c>
      <c r="D239">
        <v>1</v>
      </c>
      <c r="E239" t="str">
        <v>Sloper, Mr. William Thompson</v>
      </c>
      <c r="F239" t="str">
        <v>male</v>
      </c>
      <c r="G239" t="str">
        <v>...</v>
      </c>
      <c r="H239" t="str">
        <v>113788</v>
      </c>
      <c r="I239">
        <v>35.5</v>
      </c>
      <c r="J239" t="str">
        <v>A6</v>
      </c>
      <c r="K239" t="str">
        <v>S</v>
      </c>
      <c r="L239">
        <v>25</v>
      </c>
    </row>
    <row r="240" spans="1:12" x14ac:dyDescent="0.3">
      <c r="B240" t="str">
        <v>...</v>
      </c>
      <c r="C240" t="str">
        <v>...</v>
      </c>
      <c r="D240" t="str">
        <v>...</v>
      </c>
      <c r="E240" t="str">
        <v>...</v>
      </c>
      <c r="F240" t="str">
        <v>...</v>
      </c>
      <c r="G240" t="str">
        <v>...</v>
      </c>
      <c r="H240" t="str">
        <v>...</v>
      </c>
      <c r="I240" t="str">
        <v>...</v>
      </c>
      <c r="J240" t="str">
        <v>...</v>
      </c>
      <c r="K240" t="str">
        <v>...</v>
      </c>
      <c r="L240" t="str">
        <v>...</v>
      </c>
    </row>
    <row r="241" spans="1:12" x14ac:dyDescent="0.3">
      <c r="B241">
        <v>872</v>
      </c>
      <c r="C241">
        <v>1</v>
      </c>
      <c r="D241">
        <v>1</v>
      </c>
      <c r="E241" t="str">
        <v>Beckwith, Mrs. Richard Leonard (Sallie Monypeny)</v>
      </c>
      <c r="F241" t="str">
        <v>female</v>
      </c>
      <c r="G241" t="str">
        <v>...</v>
      </c>
      <c r="H241" t="str">
        <v>11751</v>
      </c>
      <c r="I241">
        <v>52.554200000000002</v>
      </c>
      <c r="J241" t="str">
        <v>D35</v>
      </c>
      <c r="K241" t="str">
        <v>S</v>
      </c>
      <c r="L241">
        <v>873</v>
      </c>
    </row>
    <row r="242" spans="1:12" x14ac:dyDescent="0.3">
      <c r="B242">
        <v>873</v>
      </c>
      <c r="C242">
        <v>0</v>
      </c>
      <c r="D242">
        <v>1</v>
      </c>
      <c r="E242" t="str">
        <v>Carlsson, Mr. Frans Olof</v>
      </c>
      <c r="F242" t="str">
        <v>male</v>
      </c>
      <c r="G242" t="str">
        <v>...</v>
      </c>
      <c r="H242" t="str">
        <v>695</v>
      </c>
      <c r="I242">
        <v>5</v>
      </c>
      <c r="J242" t="str">
        <v>B51 B53 B55</v>
      </c>
      <c r="K242" t="str">
        <v>S</v>
      </c>
      <c r="L242">
        <v>874</v>
      </c>
    </row>
    <row r="243" spans="1:12" x14ac:dyDescent="0.3">
      <c r="B243">
        <v>880</v>
      </c>
      <c r="C243">
        <v>1</v>
      </c>
      <c r="D243">
        <v>1</v>
      </c>
      <c r="E243" t="str">
        <v>Potter, Mrs. Thomas Jr (Lily Alexenia Wilson)</v>
      </c>
      <c r="F243" t="str">
        <v>female</v>
      </c>
      <c r="G243" t="str">
        <v>...</v>
      </c>
      <c r="H243" t="str">
        <v>11767</v>
      </c>
      <c r="I243">
        <v>83.158299999999997</v>
      </c>
      <c r="J243" t="str">
        <v>C50</v>
      </c>
      <c r="K243" t="str">
        <v>C</v>
      </c>
      <c r="L243">
        <v>881</v>
      </c>
    </row>
    <row r="244" spans="1:12" x14ac:dyDescent="0.3">
      <c r="B244">
        <v>888</v>
      </c>
      <c r="C244">
        <v>1</v>
      </c>
      <c r="D244">
        <v>1</v>
      </c>
      <c r="E244" t="str">
        <v>Graham, Miss. Margaret Edith</v>
      </c>
      <c r="F244" t="str">
        <v>female</v>
      </c>
      <c r="G244" t="str">
        <v>...</v>
      </c>
      <c r="H244" t="str">
        <v>112053</v>
      </c>
      <c r="I244">
        <v>30</v>
      </c>
      <c r="J244" t="str">
        <v>B42</v>
      </c>
      <c r="K244" t="str">
        <v>S</v>
      </c>
      <c r="L244">
        <v>889</v>
      </c>
    </row>
    <row r="245" spans="1:12" x14ac:dyDescent="0.3">
      <c r="B245">
        <v>890</v>
      </c>
      <c r="C245">
        <v>1</v>
      </c>
      <c r="D245">
        <v>1</v>
      </c>
      <c r="E245" t="str">
        <v>Behr, Mr. Karl Howell</v>
      </c>
      <c r="F245" t="str">
        <v>male</v>
      </c>
      <c r="G245" t="str">
        <v>...</v>
      </c>
      <c r="H245" t="str">
        <v>111369</v>
      </c>
      <c r="I245">
        <v>30</v>
      </c>
      <c r="J245" t="str">
        <v>C148</v>
      </c>
      <c r="K245" t="str">
        <v>C</v>
      </c>
      <c r="L245">
        <v>891</v>
      </c>
    </row>
    <row r="248" spans="1:12" x14ac:dyDescent="0.3">
      <c r="A248" s="20" t="e" cm="1" vm="48">
        <f t="array" ref="A248">_xlfn._xlws.PY(52,1)</f>
        <v>#VALUE!</v>
      </c>
      <c r="B248" t="str" cm="1">
        <f t="array" ref="B248:L259">_FV(A248,"arrayPreview")</f>
        <v>PassengerId</v>
      </c>
      <c r="C248" t="str">
        <v>Survived</v>
      </c>
      <c r="D248" t="str">
        <v>Pclass</v>
      </c>
      <c r="E248" t="str">
        <v>Name</v>
      </c>
      <c r="F248" t="str">
        <v>Sex</v>
      </c>
      <c r="G248" t="str">
        <v>...</v>
      </c>
      <c r="H248" t="str">
        <v>Ticket</v>
      </c>
      <c r="I248" t="str">
        <v>Fare</v>
      </c>
      <c r="J248" t="str">
        <v>Cabin</v>
      </c>
      <c r="K248" t="str">
        <v>Embarked</v>
      </c>
      <c r="L248" t="str">
        <v>new_col1</v>
      </c>
    </row>
    <row r="249" spans="1:12" x14ac:dyDescent="0.3">
      <c r="B249">
        <v>2</v>
      </c>
      <c r="C249">
        <v>1</v>
      </c>
      <c r="D249">
        <v>1</v>
      </c>
      <c r="E249" t="str">
        <v>Cumings, Mrs. John Bradley (Florence Briggs Thayer)</v>
      </c>
      <c r="F249" t="str">
        <v>female</v>
      </c>
      <c r="G249" t="str">
        <v>...</v>
      </c>
      <c r="H249" t="str">
        <v>PC 17599</v>
      </c>
      <c r="I249">
        <v>71.283299999999997</v>
      </c>
      <c r="J249" t="str">
        <v>C85</v>
      </c>
      <c r="K249" t="str">
        <v>C</v>
      </c>
      <c r="L249">
        <v>3</v>
      </c>
    </row>
    <row r="250" spans="1:12" x14ac:dyDescent="0.3">
      <c r="B250">
        <v>3</v>
      </c>
      <c r="C250">
        <v>1</v>
      </c>
      <c r="D250">
        <v>3</v>
      </c>
      <c r="E250" t="str">
        <v>Heikkinen, Miss. Laina</v>
      </c>
      <c r="F250" t="str">
        <v>female</v>
      </c>
      <c r="G250" t="str">
        <v>...</v>
      </c>
      <c r="H250" t="str">
        <v>STON/O2. 3101282</v>
      </c>
      <c r="I250">
        <v>7.9249999999999998</v>
      </c>
      <c r="J250" t="str">
        <v/>
      </c>
      <c r="K250" t="str">
        <v>S</v>
      </c>
      <c r="L250">
        <v>6</v>
      </c>
    </row>
    <row r="251" spans="1:12" x14ac:dyDescent="0.3">
      <c r="B251">
        <v>4</v>
      </c>
      <c r="C251">
        <v>1</v>
      </c>
      <c r="D251">
        <v>1</v>
      </c>
      <c r="E251" t="str">
        <v>Futrelle, Mrs. Jacques Heath (Lily May Peel)</v>
      </c>
      <c r="F251" t="str">
        <v>female</v>
      </c>
      <c r="G251" t="str">
        <v>...</v>
      </c>
      <c r="H251" t="str">
        <v>113803</v>
      </c>
      <c r="I251">
        <v>53.1</v>
      </c>
      <c r="J251" t="str">
        <v>C123</v>
      </c>
      <c r="K251" t="str">
        <v>S</v>
      </c>
      <c r="L251">
        <v>5</v>
      </c>
    </row>
    <row r="252" spans="1:12" x14ac:dyDescent="0.3">
      <c r="B252">
        <v>9</v>
      </c>
      <c r="C252">
        <v>1</v>
      </c>
      <c r="D252">
        <v>3</v>
      </c>
      <c r="E252" t="str">
        <v>Johnson, Mrs. Oscar W (Elisabeth Vilhelmina Berg)</v>
      </c>
      <c r="F252" t="str">
        <v>female</v>
      </c>
      <c r="G252" t="str">
        <v>...</v>
      </c>
      <c r="H252" t="str">
        <v>347742</v>
      </c>
      <c r="I252">
        <v>11.1333</v>
      </c>
      <c r="J252" t="str">
        <v/>
      </c>
      <c r="K252" t="str">
        <v>S</v>
      </c>
      <c r="L252">
        <v>12</v>
      </c>
    </row>
    <row r="253" spans="1:12" x14ac:dyDescent="0.3">
      <c r="B253">
        <v>10</v>
      </c>
      <c r="C253">
        <v>1</v>
      </c>
      <c r="D253">
        <v>2</v>
      </c>
      <c r="E253" t="str">
        <v>Nasser, Mrs. Nicholas (Adele Achem)</v>
      </c>
      <c r="F253" t="str">
        <v>female</v>
      </c>
      <c r="G253" t="str">
        <v>...</v>
      </c>
      <c r="H253" t="str">
        <v>237736</v>
      </c>
      <c r="I253">
        <v>30.070799999999998</v>
      </c>
      <c r="J253" t="str">
        <v/>
      </c>
      <c r="K253" t="str">
        <v>C</v>
      </c>
      <c r="L253">
        <v>12</v>
      </c>
    </row>
    <row r="254" spans="1:12" x14ac:dyDescent="0.3">
      <c r="B254" t="str">
        <v>...</v>
      </c>
      <c r="C254" t="str">
        <v>...</v>
      </c>
      <c r="D254" t="str">
        <v>...</v>
      </c>
      <c r="E254" t="str">
        <v>...</v>
      </c>
      <c r="F254" t="str">
        <v>...</v>
      </c>
      <c r="G254" t="str">
        <v>...</v>
      </c>
      <c r="H254" t="str">
        <v>...</v>
      </c>
      <c r="I254" t="str">
        <v>...</v>
      </c>
      <c r="J254" t="str">
        <v>...</v>
      </c>
      <c r="K254" t="str">
        <v>...</v>
      </c>
      <c r="L254" t="str">
        <v>...</v>
      </c>
    </row>
    <row r="255" spans="1:12" x14ac:dyDescent="0.3">
      <c r="B255">
        <v>876</v>
      </c>
      <c r="C255">
        <v>1</v>
      </c>
      <c r="D255">
        <v>3</v>
      </c>
      <c r="E255" t="str">
        <v>Najib, Miss. Adele Kiamie "Jane"</v>
      </c>
      <c r="F255" t="str">
        <v>female</v>
      </c>
      <c r="G255" t="str">
        <v>...</v>
      </c>
      <c r="H255" t="str">
        <v>2667</v>
      </c>
      <c r="I255">
        <v>7.2249999999999996</v>
      </c>
      <c r="J255" t="str">
        <v/>
      </c>
      <c r="K255" t="str">
        <v>C</v>
      </c>
      <c r="L255">
        <v>879</v>
      </c>
    </row>
    <row r="256" spans="1:12" x14ac:dyDescent="0.3">
      <c r="B256">
        <v>880</v>
      </c>
      <c r="C256">
        <v>1</v>
      </c>
      <c r="D256">
        <v>1</v>
      </c>
      <c r="E256" t="str">
        <v>Potter, Mrs. Thomas Jr (Lily Alexenia Wilson)</v>
      </c>
      <c r="F256" t="str">
        <v>female</v>
      </c>
      <c r="G256" t="str">
        <v>...</v>
      </c>
      <c r="H256" t="str">
        <v>11767</v>
      </c>
      <c r="I256">
        <v>83.158299999999997</v>
      </c>
      <c r="J256" t="str">
        <v>C50</v>
      </c>
      <c r="K256" t="str">
        <v>C</v>
      </c>
      <c r="L256">
        <v>881</v>
      </c>
    </row>
    <row r="257" spans="1:12" x14ac:dyDescent="0.3">
      <c r="B257">
        <v>881</v>
      </c>
      <c r="C257">
        <v>1</v>
      </c>
      <c r="D257">
        <v>2</v>
      </c>
      <c r="E257" t="str">
        <v>Shelley, Mrs. William (Imanita Parrish Hall)</v>
      </c>
      <c r="F257" t="str">
        <v>female</v>
      </c>
      <c r="G257" t="str">
        <v>...</v>
      </c>
      <c r="H257" t="str">
        <v>230433</v>
      </c>
      <c r="I257">
        <v>26</v>
      </c>
      <c r="J257" t="str">
        <v/>
      </c>
      <c r="K257" t="str">
        <v>S</v>
      </c>
      <c r="L257">
        <v>883</v>
      </c>
    </row>
    <row r="258" spans="1:12" x14ac:dyDescent="0.3">
      <c r="B258">
        <v>888</v>
      </c>
      <c r="C258">
        <v>1</v>
      </c>
      <c r="D258">
        <v>1</v>
      </c>
      <c r="E258" t="str">
        <v>Graham, Miss. Margaret Edith</v>
      </c>
      <c r="F258" t="str">
        <v>female</v>
      </c>
      <c r="G258" t="str">
        <v>...</v>
      </c>
      <c r="H258" t="str">
        <v>112053</v>
      </c>
      <c r="I258">
        <v>30</v>
      </c>
      <c r="J258" t="str">
        <v>B42</v>
      </c>
      <c r="K258" t="str">
        <v>S</v>
      </c>
      <c r="L258">
        <v>889</v>
      </c>
    </row>
    <row r="259" spans="1:12" x14ac:dyDescent="0.3">
      <c r="B259">
        <v>890</v>
      </c>
      <c r="C259">
        <v>1</v>
      </c>
      <c r="D259">
        <v>1</v>
      </c>
      <c r="E259" t="str">
        <v>Behr, Mr. Karl Howell</v>
      </c>
      <c r="F259" t="str">
        <v>male</v>
      </c>
      <c r="G259" t="str">
        <v>...</v>
      </c>
      <c r="H259" t="str">
        <v>111369</v>
      </c>
      <c r="I259">
        <v>30</v>
      </c>
      <c r="J259" t="str">
        <v>C148</v>
      </c>
      <c r="K259" t="str">
        <v>C</v>
      </c>
      <c r="L259">
        <v>891</v>
      </c>
    </row>
    <row r="261" spans="1:12" x14ac:dyDescent="0.3">
      <c r="A261" s="20" t="e" cm="1" vm="49">
        <f t="array" ref="A261">_xlfn._xlws.PY(53,1)</f>
        <v>#VALUE!</v>
      </c>
      <c r="B261" t="str" cm="1">
        <f t="array" ref="B261:B272">_FV(A261,"arrayPreview")</f>
        <v>Sex</v>
      </c>
      <c r="C261" t="str" cm="1">
        <f t="array" ref="C261">_xlfn._DF_Python_str(A261)</f>
        <v>0      False
1      False
2      False
3      False
4      False
       ...  
886    False
887    False
888    False
889    False
890    False
Name: Sex, Length: 891, dtype: bool</v>
      </c>
    </row>
    <row r="262" spans="1:12" x14ac:dyDescent="0.3">
      <c r="B262" t="b">
        <v>0</v>
      </c>
    </row>
    <row r="263" spans="1:12" x14ac:dyDescent="0.3">
      <c r="B263" t="b">
        <v>0</v>
      </c>
    </row>
    <row r="264" spans="1:12" x14ac:dyDescent="0.3">
      <c r="B264" t="b">
        <v>0</v>
      </c>
    </row>
    <row r="265" spans="1:12" x14ac:dyDescent="0.3">
      <c r="B265" t="b">
        <v>0</v>
      </c>
    </row>
    <row r="266" spans="1:12" x14ac:dyDescent="0.3">
      <c r="B266" t="b">
        <v>0</v>
      </c>
    </row>
    <row r="267" spans="1:12" x14ac:dyDescent="0.3">
      <c r="B267" t="str">
        <v>...</v>
      </c>
    </row>
    <row r="268" spans="1:12" x14ac:dyDescent="0.3">
      <c r="B268" t="b">
        <v>0</v>
      </c>
    </row>
    <row r="269" spans="1:12" x14ac:dyDescent="0.3">
      <c r="B269" t="b">
        <v>0</v>
      </c>
    </row>
    <row r="270" spans="1:12" x14ac:dyDescent="0.3">
      <c r="B270" t="b">
        <v>0</v>
      </c>
    </row>
    <row r="271" spans="1:12" x14ac:dyDescent="0.3">
      <c r="B271" t="b">
        <v>0</v>
      </c>
    </row>
    <row r="272" spans="1:12" x14ac:dyDescent="0.3">
      <c r="B272" t="b">
        <v>0</v>
      </c>
    </row>
    <row r="275" spans="1:12" x14ac:dyDescent="0.3">
      <c r="A275" s="20" t="e" cm="1" vm="50">
        <f t="array" ref="A275">_xlfn._xlws.PY(54,1)</f>
        <v>#VALUE!</v>
      </c>
      <c r="B275" t="str" cm="1">
        <f t="array" ref="B275:B286">_FV(A275,"arrayPreview")</f>
        <v>Fare</v>
      </c>
      <c r="C275" t="str" cm="1">
        <f t="array" ref="C275">_xlfn._DF_Python_str(A275)</f>
        <v>0      False
1       True
2      False
3       True
4      False
       ...  
886    False
887    False
888    False
889    False
890    False
Name: Fare, Length: 891, dtype: bool</v>
      </c>
    </row>
    <row r="276" spans="1:12" x14ac:dyDescent="0.3">
      <c r="B276" t="b">
        <v>0</v>
      </c>
    </row>
    <row r="277" spans="1:12" x14ac:dyDescent="0.3">
      <c r="B277" t="b">
        <v>1</v>
      </c>
    </row>
    <row r="278" spans="1:12" x14ac:dyDescent="0.3">
      <c r="B278" t="b">
        <v>0</v>
      </c>
    </row>
    <row r="279" spans="1:12" x14ac:dyDescent="0.3">
      <c r="B279" t="b">
        <v>1</v>
      </c>
    </row>
    <row r="280" spans="1:12" x14ac:dyDescent="0.3">
      <c r="B280" t="b">
        <v>0</v>
      </c>
    </row>
    <row r="281" spans="1:12" x14ac:dyDescent="0.3">
      <c r="B281" t="str">
        <v>...</v>
      </c>
    </row>
    <row r="282" spans="1:12" x14ac:dyDescent="0.3">
      <c r="B282" t="b">
        <v>0</v>
      </c>
    </row>
    <row r="283" spans="1:12" x14ac:dyDescent="0.3">
      <c r="B283" t="b">
        <v>0</v>
      </c>
    </row>
    <row r="284" spans="1:12" x14ac:dyDescent="0.3">
      <c r="B284" t="b">
        <v>0</v>
      </c>
    </row>
    <row r="285" spans="1:12" x14ac:dyDescent="0.3">
      <c r="B285" t="b">
        <v>0</v>
      </c>
    </row>
    <row r="286" spans="1:12" x14ac:dyDescent="0.3">
      <c r="B286" t="b">
        <v>0</v>
      </c>
    </row>
    <row r="288" spans="1:12" x14ac:dyDescent="0.3">
      <c r="A288" s="20" t="e" cm="1" vm="43">
        <f t="array" ref="A288">_xlfn._xlws.PY(55,1)</f>
        <v>#VALUE!</v>
      </c>
      <c r="B288" t="str" cm="1">
        <f t="array" ref="B288:L299">_FV(A288,"arrayPreview")</f>
        <v>PassengerId</v>
      </c>
      <c r="C288" t="str">
        <v>Survived</v>
      </c>
      <c r="D288" t="str">
        <v>Pclass</v>
      </c>
      <c r="E288" t="str">
        <v>Name</v>
      </c>
      <c r="F288" t="str">
        <v>Sex</v>
      </c>
      <c r="G288" t="str">
        <v>...</v>
      </c>
      <c r="H288" t="str">
        <v>Ticket</v>
      </c>
      <c r="I288" t="str">
        <v>Fare</v>
      </c>
      <c r="J288" t="str">
        <v>Cabin</v>
      </c>
      <c r="K288" t="str">
        <v>Embarked</v>
      </c>
      <c r="L288" t="str">
        <v>new_col1</v>
      </c>
    </row>
    <row r="289" spans="1:12" x14ac:dyDescent="0.3">
      <c r="B289">
        <v>2</v>
      </c>
      <c r="C289">
        <v>1</v>
      </c>
      <c r="D289">
        <v>1</v>
      </c>
      <c r="E289" t="str">
        <v>Cumings, Mrs. John Bradley (Florence Briggs Thayer)</v>
      </c>
      <c r="F289" t="str">
        <v>female</v>
      </c>
      <c r="G289" t="str">
        <v>...</v>
      </c>
      <c r="H289" t="str">
        <v>PC 17599</v>
      </c>
      <c r="I289">
        <v>71.283299999999997</v>
      </c>
      <c r="J289" t="str">
        <v>C85</v>
      </c>
      <c r="K289" t="str">
        <v>C</v>
      </c>
      <c r="L289">
        <v>3</v>
      </c>
    </row>
    <row r="290" spans="1:12" x14ac:dyDescent="0.3">
      <c r="B290">
        <v>4</v>
      </c>
      <c r="C290">
        <v>1</v>
      </c>
      <c r="D290">
        <v>1</v>
      </c>
      <c r="E290" t="str">
        <v>Futrelle, Mrs. Jacques Heath (Lily May Peel)</v>
      </c>
      <c r="F290" t="str">
        <v>female</v>
      </c>
      <c r="G290" t="str">
        <v>...</v>
      </c>
      <c r="H290" t="str">
        <v>113803</v>
      </c>
      <c r="I290">
        <v>53.1</v>
      </c>
      <c r="J290" t="str">
        <v>C123</v>
      </c>
      <c r="K290" t="str">
        <v>S</v>
      </c>
      <c r="L290">
        <v>5</v>
      </c>
    </row>
    <row r="291" spans="1:12" x14ac:dyDescent="0.3">
      <c r="B291">
        <v>7</v>
      </c>
      <c r="C291">
        <v>0</v>
      </c>
      <c r="D291">
        <v>1</v>
      </c>
      <c r="E291" t="str">
        <v>McCarthy, Mr. Timothy J</v>
      </c>
      <c r="F291" t="str">
        <v>male</v>
      </c>
      <c r="G291" t="str">
        <v>...</v>
      </c>
      <c r="H291" t="str">
        <v>17463</v>
      </c>
      <c r="I291">
        <v>51.862499999999997</v>
      </c>
      <c r="J291" t="str">
        <v>E46</v>
      </c>
      <c r="K291" t="str">
        <v>S</v>
      </c>
      <c r="L291">
        <v>8</v>
      </c>
    </row>
    <row r="292" spans="1:12" x14ac:dyDescent="0.3">
      <c r="B292">
        <v>24</v>
      </c>
      <c r="C292">
        <v>1</v>
      </c>
      <c r="D292">
        <v>1</v>
      </c>
      <c r="E292" t="str">
        <v>Sloper, Mr. William Thompson</v>
      </c>
      <c r="F292" t="str">
        <v>male</v>
      </c>
      <c r="G292" t="str">
        <v>...</v>
      </c>
      <c r="H292" t="str">
        <v>113788</v>
      </c>
      <c r="I292">
        <v>35.5</v>
      </c>
      <c r="J292" t="str">
        <v>A6</v>
      </c>
      <c r="K292" t="str">
        <v>S</v>
      </c>
      <c r="L292">
        <v>25</v>
      </c>
    </row>
    <row r="293" spans="1:12" x14ac:dyDescent="0.3">
      <c r="B293">
        <v>28</v>
      </c>
      <c r="C293">
        <v>0</v>
      </c>
      <c r="D293">
        <v>1</v>
      </c>
      <c r="E293" t="str">
        <v>Fortune, Mr. Charles Alexander</v>
      </c>
      <c r="F293" t="str">
        <v>male</v>
      </c>
      <c r="G293" t="str">
        <v>...</v>
      </c>
      <c r="H293" t="str">
        <v>19950</v>
      </c>
      <c r="I293">
        <v>263</v>
      </c>
      <c r="J293" t="str">
        <v>C23 C25 C27</v>
      </c>
      <c r="K293" t="str">
        <v>S</v>
      </c>
      <c r="L293">
        <v>29</v>
      </c>
    </row>
    <row r="294" spans="1:12" x14ac:dyDescent="0.3">
      <c r="B294" t="str">
        <v>...</v>
      </c>
      <c r="C294" t="str">
        <v>...</v>
      </c>
      <c r="D294" t="str">
        <v>...</v>
      </c>
      <c r="E294" t="str">
        <v>...</v>
      </c>
      <c r="F294" t="str">
        <v>...</v>
      </c>
      <c r="G294" t="str">
        <v>...</v>
      </c>
      <c r="H294" t="str">
        <v>...</v>
      </c>
      <c r="I294" t="str">
        <v>...</v>
      </c>
      <c r="J294" t="str">
        <v>...</v>
      </c>
      <c r="K294" t="str">
        <v>...</v>
      </c>
      <c r="L294" t="str">
        <v>...</v>
      </c>
    </row>
    <row r="295" spans="1:12" x14ac:dyDescent="0.3">
      <c r="B295">
        <v>857</v>
      </c>
      <c r="C295">
        <v>1</v>
      </c>
      <c r="D295">
        <v>1</v>
      </c>
      <c r="E295" t="str">
        <v>Wick, Mrs. George Dennick (Mary Hitchcock)</v>
      </c>
      <c r="F295" t="str">
        <v>female</v>
      </c>
      <c r="G295" t="str">
        <v>...</v>
      </c>
      <c r="H295" t="str">
        <v>36928</v>
      </c>
      <c r="I295">
        <v>164.86670000000001</v>
      </c>
      <c r="J295" t="str">
        <v/>
      </c>
      <c r="K295" t="str">
        <v>S</v>
      </c>
      <c r="L295">
        <v>858</v>
      </c>
    </row>
    <row r="296" spans="1:12" x14ac:dyDescent="0.3">
      <c r="B296">
        <v>864</v>
      </c>
      <c r="C296">
        <v>0</v>
      </c>
      <c r="D296">
        <v>3</v>
      </c>
      <c r="E296" t="str">
        <v>Sage, Miss. Dorothy Edith "Dolly"</v>
      </c>
      <c r="F296" t="str">
        <v>female</v>
      </c>
      <c r="G296" t="str">
        <v>...</v>
      </c>
      <c r="H296" t="str">
        <v>CA. 2343</v>
      </c>
      <c r="I296">
        <v>69.55</v>
      </c>
      <c r="J296" t="str">
        <v/>
      </c>
      <c r="K296" t="str">
        <v>S</v>
      </c>
      <c r="L296">
        <v>867</v>
      </c>
    </row>
    <row r="297" spans="1:12" x14ac:dyDescent="0.3">
      <c r="B297">
        <v>868</v>
      </c>
      <c r="C297">
        <v>0</v>
      </c>
      <c r="D297">
        <v>1</v>
      </c>
      <c r="E297" t="str">
        <v>Roebling, Mr. Washington Augustus II</v>
      </c>
      <c r="F297" t="str">
        <v>male</v>
      </c>
      <c r="G297" t="str">
        <v>...</v>
      </c>
      <c r="H297" t="str">
        <v>PC 17590</v>
      </c>
      <c r="I297">
        <v>50.495800000000003</v>
      </c>
      <c r="J297" t="str">
        <v>A24</v>
      </c>
      <c r="K297" t="str">
        <v>S</v>
      </c>
      <c r="L297">
        <v>869</v>
      </c>
    </row>
    <row r="298" spans="1:12" x14ac:dyDescent="0.3">
      <c r="B298">
        <v>872</v>
      </c>
      <c r="C298">
        <v>1</v>
      </c>
      <c r="D298">
        <v>1</v>
      </c>
      <c r="E298" t="str">
        <v>Beckwith, Mrs. Richard Leonard (Sallie Monypeny)</v>
      </c>
      <c r="F298" t="str">
        <v>female</v>
      </c>
      <c r="G298" t="str">
        <v>...</v>
      </c>
      <c r="H298" t="str">
        <v>11751</v>
      </c>
      <c r="I298">
        <v>52.554200000000002</v>
      </c>
      <c r="J298" t="str">
        <v>D35</v>
      </c>
      <c r="K298" t="str">
        <v>S</v>
      </c>
      <c r="L298">
        <v>873</v>
      </c>
    </row>
    <row r="299" spans="1:12" x14ac:dyDescent="0.3">
      <c r="B299">
        <v>880</v>
      </c>
      <c r="C299">
        <v>1</v>
      </c>
      <c r="D299">
        <v>1</v>
      </c>
      <c r="E299" t="str">
        <v>Potter, Mrs. Thomas Jr (Lily Alexenia Wilson)</v>
      </c>
      <c r="F299" t="str">
        <v>female</v>
      </c>
      <c r="G299" t="str">
        <v>...</v>
      </c>
      <c r="H299" t="str">
        <v>11767</v>
      </c>
      <c r="I299">
        <v>83.158299999999997</v>
      </c>
      <c r="J299" t="str">
        <v>C50</v>
      </c>
      <c r="K299" t="str">
        <v>C</v>
      </c>
      <c r="L299">
        <v>881</v>
      </c>
    </row>
    <row r="302" spans="1:12" x14ac:dyDescent="0.3">
      <c r="A302" s="20" t="e" cm="1" vm="51">
        <f t="array" ref="A302">_xlfn._xlws.PY(56,1)</f>
        <v>#VALUE!</v>
      </c>
      <c r="B302" t="str" cm="1">
        <f t="array" ref="B302:L313">_FV(A302,"arrayPreview")</f>
        <v>PassengerId</v>
      </c>
      <c r="C302" t="str">
        <v>Survived</v>
      </c>
      <c r="D302" t="str">
        <v>Pclass</v>
      </c>
      <c r="E302" t="str">
        <v>Name</v>
      </c>
      <c r="F302" t="str">
        <v>Sex</v>
      </c>
      <c r="G302" t="str">
        <v>...</v>
      </c>
      <c r="H302" t="str">
        <v>Ticket</v>
      </c>
      <c r="I302" t="str">
        <v>Fare</v>
      </c>
      <c r="J302" t="str">
        <v>Cabin</v>
      </c>
      <c r="K302" t="str">
        <v>Embarked</v>
      </c>
      <c r="L302" t="str">
        <v>new_col1</v>
      </c>
    </row>
    <row r="303" spans="1:12" x14ac:dyDescent="0.3">
      <c r="B303">
        <v>7</v>
      </c>
      <c r="C303">
        <v>0</v>
      </c>
      <c r="D303">
        <v>1</v>
      </c>
      <c r="E303" t="str">
        <v>McCarthy, Mr. Timothy J</v>
      </c>
      <c r="F303" t="str">
        <v>male</v>
      </c>
      <c r="G303" t="str">
        <v>...</v>
      </c>
      <c r="H303" t="str">
        <v>17463</v>
      </c>
      <c r="I303">
        <v>51.862499999999997</v>
      </c>
      <c r="J303" t="str">
        <v>E46</v>
      </c>
      <c r="K303" t="str">
        <v>S</v>
      </c>
      <c r="L303">
        <v>8</v>
      </c>
    </row>
    <row r="304" spans="1:12" x14ac:dyDescent="0.3">
      <c r="B304">
        <v>24</v>
      </c>
      <c r="C304">
        <v>1</v>
      </c>
      <c r="D304">
        <v>1</v>
      </c>
      <c r="E304" t="str">
        <v>Sloper, Mr. William Thompson</v>
      </c>
      <c r="F304" t="str">
        <v>male</v>
      </c>
      <c r="G304" t="str">
        <v>...</v>
      </c>
      <c r="H304" t="str">
        <v>113788</v>
      </c>
      <c r="I304">
        <v>35.5</v>
      </c>
      <c r="J304" t="str">
        <v>A6</v>
      </c>
      <c r="K304" t="str">
        <v>S</v>
      </c>
      <c r="L304">
        <v>25</v>
      </c>
    </row>
    <row r="305" spans="1:12" x14ac:dyDescent="0.3">
      <c r="B305">
        <v>28</v>
      </c>
      <c r="C305">
        <v>0</v>
      </c>
      <c r="D305">
        <v>1</v>
      </c>
      <c r="E305" t="str">
        <v>Fortune, Mr. Charles Alexander</v>
      </c>
      <c r="F305" t="str">
        <v>male</v>
      </c>
      <c r="G305" t="str">
        <v>...</v>
      </c>
      <c r="H305" t="str">
        <v>19950</v>
      </c>
      <c r="I305">
        <v>263</v>
      </c>
      <c r="J305" t="str">
        <v>C23 C25 C27</v>
      </c>
      <c r="K305" t="str">
        <v>S</v>
      </c>
      <c r="L305">
        <v>29</v>
      </c>
    </row>
    <row r="306" spans="1:12" x14ac:dyDescent="0.3">
      <c r="B306">
        <v>35</v>
      </c>
      <c r="C306">
        <v>0</v>
      </c>
      <c r="D306">
        <v>1</v>
      </c>
      <c r="E306" t="str">
        <v>Meyer, Mr. Edgar Joseph</v>
      </c>
      <c r="F306" t="str">
        <v>male</v>
      </c>
      <c r="G306" t="str">
        <v>...</v>
      </c>
      <c r="H306" t="str">
        <v>PC 17604</v>
      </c>
      <c r="I306">
        <v>82.1708</v>
      </c>
      <c r="J306" t="str">
        <v/>
      </c>
      <c r="K306" t="str">
        <v>C</v>
      </c>
      <c r="L306">
        <v>36</v>
      </c>
    </row>
    <row r="307" spans="1:12" x14ac:dyDescent="0.3">
      <c r="B307">
        <v>36</v>
      </c>
      <c r="C307">
        <v>0</v>
      </c>
      <c r="D307">
        <v>1</v>
      </c>
      <c r="E307" t="str">
        <v>Holverson, Mr. Alexander Oskar</v>
      </c>
      <c r="F307" t="str">
        <v>male</v>
      </c>
      <c r="G307" t="str">
        <v>...</v>
      </c>
      <c r="H307" t="str">
        <v>113789</v>
      </c>
      <c r="I307">
        <v>52</v>
      </c>
      <c r="J307" t="str">
        <v/>
      </c>
      <c r="K307" t="str">
        <v>S</v>
      </c>
      <c r="L307">
        <v>37</v>
      </c>
    </row>
    <row r="308" spans="1:12" x14ac:dyDescent="0.3">
      <c r="B308" t="str">
        <v>...</v>
      </c>
      <c r="C308" t="str">
        <v>...</v>
      </c>
      <c r="D308" t="str">
        <v>...</v>
      </c>
      <c r="E308" t="str">
        <v>...</v>
      </c>
      <c r="F308" t="str">
        <v>...</v>
      </c>
      <c r="G308" t="str">
        <v>...</v>
      </c>
      <c r="H308" t="str">
        <v>...</v>
      </c>
      <c r="I308" t="str">
        <v>...</v>
      </c>
      <c r="J308" t="str">
        <v>...</v>
      </c>
      <c r="K308" t="str">
        <v>...</v>
      </c>
      <c r="L308" t="str">
        <v>...</v>
      </c>
    </row>
    <row r="309" spans="1:12" x14ac:dyDescent="0.3">
      <c r="B309">
        <v>828</v>
      </c>
      <c r="C309">
        <v>1</v>
      </c>
      <c r="D309">
        <v>2</v>
      </c>
      <c r="E309" t="str">
        <v>Mallet, Master. Andre</v>
      </c>
      <c r="F309" t="str">
        <v>male</v>
      </c>
      <c r="G309" t="str">
        <v>...</v>
      </c>
      <c r="H309" t="str">
        <v>S.C./PARIS 2079</v>
      </c>
      <c r="I309">
        <v>37.004199999999997</v>
      </c>
      <c r="J309" t="str">
        <v/>
      </c>
      <c r="K309" t="str">
        <v>C</v>
      </c>
      <c r="L309">
        <v>830</v>
      </c>
    </row>
    <row r="310" spans="1:12" x14ac:dyDescent="0.3">
      <c r="B310">
        <v>839</v>
      </c>
      <c r="C310">
        <v>1</v>
      </c>
      <c r="D310">
        <v>3</v>
      </c>
      <c r="E310" t="str">
        <v>Chip, Mr. Chang</v>
      </c>
      <c r="F310" t="str">
        <v>male</v>
      </c>
      <c r="G310" t="str">
        <v>...</v>
      </c>
      <c r="H310" t="str">
        <v>1601</v>
      </c>
      <c r="I310">
        <v>56.495800000000003</v>
      </c>
      <c r="J310" t="str">
        <v/>
      </c>
      <c r="K310" t="str">
        <v>S</v>
      </c>
      <c r="L310">
        <v>842</v>
      </c>
    </row>
    <row r="311" spans="1:12" x14ac:dyDescent="0.3">
      <c r="B311">
        <v>847</v>
      </c>
      <c r="C311">
        <v>0</v>
      </c>
      <c r="D311">
        <v>3</v>
      </c>
      <c r="E311" t="str">
        <v>Sage, Mr. Douglas Bullen</v>
      </c>
      <c r="F311" t="str">
        <v>male</v>
      </c>
      <c r="G311" t="str">
        <v>...</v>
      </c>
      <c r="H311" t="str">
        <v>CA. 2343</v>
      </c>
      <c r="I311">
        <v>69.55</v>
      </c>
      <c r="J311" t="str">
        <v/>
      </c>
      <c r="K311" t="str">
        <v>S</v>
      </c>
      <c r="L311">
        <v>850</v>
      </c>
    </row>
    <row r="312" spans="1:12" x14ac:dyDescent="0.3">
      <c r="B312">
        <v>849</v>
      </c>
      <c r="C312">
        <v>0</v>
      </c>
      <c r="D312">
        <v>2</v>
      </c>
      <c r="E312" t="str">
        <v>Harper, Rev. John</v>
      </c>
      <c r="F312" t="str">
        <v>male</v>
      </c>
      <c r="G312" t="str">
        <v>...</v>
      </c>
      <c r="H312" t="str">
        <v>248727</v>
      </c>
      <c r="I312">
        <v>33</v>
      </c>
      <c r="J312" t="str">
        <v/>
      </c>
      <c r="K312" t="str">
        <v>S</v>
      </c>
      <c r="L312">
        <v>851</v>
      </c>
    </row>
    <row r="313" spans="1:12" x14ac:dyDescent="0.3">
      <c r="B313">
        <v>868</v>
      </c>
      <c r="C313">
        <v>0</v>
      </c>
      <c r="D313">
        <v>1</v>
      </c>
      <c r="E313" t="str">
        <v>Roebling, Mr. Washington Augustus II</v>
      </c>
      <c r="F313" t="str">
        <v>male</v>
      </c>
      <c r="G313" t="str">
        <v>...</v>
      </c>
      <c r="H313" t="str">
        <v>PC 17590</v>
      </c>
      <c r="I313">
        <v>50.495800000000003</v>
      </c>
      <c r="J313" t="str">
        <v>A24</v>
      </c>
      <c r="K313" t="str">
        <v>S</v>
      </c>
      <c r="L313">
        <v>869</v>
      </c>
    </row>
    <row r="316" spans="1:12" x14ac:dyDescent="0.3">
      <c r="A316" s="20" t="e" cm="1" vm="52">
        <f t="array" ref="A316">_xlfn._xlws.PY(57,1)</f>
        <v>#VALUE!</v>
      </c>
      <c r="B316" t="str" cm="1">
        <f t="array" ref="B316:B319">_FV(A316,"arrayPreview")</f>
        <v>Name</v>
      </c>
    </row>
    <row r="317" spans="1:12" x14ac:dyDescent="0.3">
      <c r="B317" t="str">
        <v>Ward, Miss. Anna</v>
      </c>
    </row>
    <row r="318" spans="1:12" x14ac:dyDescent="0.3">
      <c r="B318" t="str">
        <v>Cardeza, Mr. Thomas Drake Martinez</v>
      </c>
    </row>
    <row r="319" spans="1:12" x14ac:dyDescent="0.3">
      <c r="B319" t="str">
        <v>Lesurer, Mr. Gustave J</v>
      </c>
    </row>
    <row r="321" spans="1:12" x14ac:dyDescent="0.3">
      <c r="A321" s="20" t="e" cm="1" vm="53">
        <f t="array" ref="A321">_xlfn._xlws.PY(58,1)</f>
        <v>#VALUE!</v>
      </c>
      <c r="B321" t="str" cm="1">
        <f t="array" ref="B321:L332">_FV(A321,"arrayPreview")</f>
        <v>PassengerId</v>
      </c>
      <c r="C321" t="str">
        <v>Survived</v>
      </c>
      <c r="D321" t="str">
        <v>Pclass</v>
      </c>
      <c r="E321" t="str">
        <v>Name</v>
      </c>
      <c r="F321" t="str">
        <v>Sex</v>
      </c>
      <c r="G321" t="str">
        <v>...</v>
      </c>
      <c r="H321" t="str">
        <v>Ticket</v>
      </c>
      <c r="I321" t="str">
        <v>Fare</v>
      </c>
      <c r="J321" t="str">
        <v>Cabin</v>
      </c>
      <c r="K321" t="str">
        <v>Embarked</v>
      </c>
      <c r="L321" t="str">
        <v>new_col1</v>
      </c>
    </row>
    <row r="322" spans="1:12" x14ac:dyDescent="0.3">
      <c r="B322">
        <v>1</v>
      </c>
      <c r="C322">
        <v>0</v>
      </c>
      <c r="D322">
        <v>3</v>
      </c>
      <c r="E322" t="str">
        <v>Braund, Mr. Owen Harris</v>
      </c>
      <c r="F322" t="str">
        <v>male</v>
      </c>
      <c r="G322" t="str">
        <v>...</v>
      </c>
      <c r="H322" t="str">
        <v>A/5 21171</v>
      </c>
      <c r="I322">
        <v>7.25</v>
      </c>
      <c r="J322" t="str">
        <v/>
      </c>
      <c r="K322" t="str">
        <v>S</v>
      </c>
      <c r="L322">
        <v>4</v>
      </c>
    </row>
    <row r="323" spans="1:12" x14ac:dyDescent="0.3">
      <c r="B323">
        <v>3</v>
      </c>
      <c r="C323">
        <v>1</v>
      </c>
      <c r="D323">
        <v>3</v>
      </c>
      <c r="E323" t="str">
        <v>Heikkinen, Miss. Laina</v>
      </c>
      <c r="F323" t="str">
        <v>female</v>
      </c>
      <c r="G323" t="str">
        <v>...</v>
      </c>
      <c r="H323" t="str">
        <v>STON/O2. 3101282</v>
      </c>
      <c r="I323">
        <v>7.9249999999999998</v>
      </c>
      <c r="J323" t="str">
        <v/>
      </c>
      <c r="K323" t="str">
        <v>S</v>
      </c>
      <c r="L323">
        <v>6</v>
      </c>
    </row>
    <row r="324" spans="1:12" x14ac:dyDescent="0.3">
      <c r="B324">
        <v>5</v>
      </c>
      <c r="C324">
        <v>0</v>
      </c>
      <c r="D324">
        <v>3</v>
      </c>
      <c r="E324" t="str">
        <v>Allen, Mr. William Henry</v>
      </c>
      <c r="F324" t="str">
        <v>male</v>
      </c>
      <c r="G324" t="str">
        <v>...</v>
      </c>
      <c r="H324" t="str">
        <v>373450</v>
      </c>
      <c r="I324">
        <v>8.0500000000000007</v>
      </c>
      <c r="J324" t="str">
        <v/>
      </c>
      <c r="K324" t="str">
        <v>S</v>
      </c>
      <c r="L324">
        <v>8</v>
      </c>
    </row>
    <row r="325" spans="1:12" x14ac:dyDescent="0.3">
      <c r="B325">
        <v>7</v>
      </c>
      <c r="C325">
        <v>0</v>
      </c>
      <c r="D325">
        <v>1</v>
      </c>
      <c r="E325" t="str">
        <v>McCarthy, Mr. Timothy J</v>
      </c>
      <c r="F325" t="str">
        <v>male</v>
      </c>
      <c r="G325" t="str">
        <v>...</v>
      </c>
      <c r="H325" t="str">
        <v>17463</v>
      </c>
      <c r="I325">
        <v>51.862499999999997</v>
      </c>
      <c r="J325" t="str">
        <v>E46</v>
      </c>
      <c r="K325" t="str">
        <v>S</v>
      </c>
      <c r="L325">
        <v>8</v>
      </c>
    </row>
    <row r="326" spans="1:12" x14ac:dyDescent="0.3">
      <c r="B326">
        <v>9</v>
      </c>
      <c r="C326">
        <v>1</v>
      </c>
      <c r="D326">
        <v>3</v>
      </c>
      <c r="E326" t="str">
        <v>Johnson, Mrs. Oscar W (Elisabeth Vilhelmina Berg)</v>
      </c>
      <c r="F326" t="str">
        <v>female</v>
      </c>
      <c r="G326" t="str">
        <v>...</v>
      </c>
      <c r="H326" t="str">
        <v>347742</v>
      </c>
      <c r="I326">
        <v>11.1333</v>
      </c>
      <c r="J326" t="str">
        <v/>
      </c>
      <c r="K326" t="str">
        <v>S</v>
      </c>
      <c r="L326">
        <v>12</v>
      </c>
    </row>
    <row r="327" spans="1:12" x14ac:dyDescent="0.3">
      <c r="B327" t="str">
        <v>...</v>
      </c>
      <c r="C327" t="str">
        <v>...</v>
      </c>
      <c r="D327" t="str">
        <v>...</v>
      </c>
      <c r="E327" t="str">
        <v>...</v>
      </c>
      <c r="F327" t="str">
        <v>...</v>
      </c>
      <c r="G327" t="str">
        <v>...</v>
      </c>
      <c r="H327" t="str">
        <v>...</v>
      </c>
      <c r="I327" t="str">
        <v>...</v>
      </c>
      <c r="J327" t="str">
        <v>...</v>
      </c>
      <c r="K327" t="str">
        <v>...</v>
      </c>
      <c r="L327" t="str">
        <v>...</v>
      </c>
    </row>
    <row r="328" spans="1:12" x14ac:dyDescent="0.3">
      <c r="B328">
        <v>883</v>
      </c>
      <c r="C328">
        <v>0</v>
      </c>
      <c r="D328">
        <v>3</v>
      </c>
      <c r="E328" t="str">
        <v>Dahlberg, Miss. Gerda Ulrika</v>
      </c>
      <c r="F328" t="str">
        <v>female</v>
      </c>
      <c r="G328" t="str">
        <v>...</v>
      </c>
      <c r="H328" t="str">
        <v>7552</v>
      </c>
      <c r="I328">
        <v>10.5167</v>
      </c>
      <c r="J328" t="str">
        <v/>
      </c>
      <c r="K328" t="str">
        <v>S</v>
      </c>
      <c r="L328">
        <v>886</v>
      </c>
    </row>
    <row r="329" spans="1:12" x14ac:dyDescent="0.3">
      <c r="B329">
        <v>885</v>
      </c>
      <c r="C329">
        <v>0</v>
      </c>
      <c r="D329">
        <v>3</v>
      </c>
      <c r="E329" t="str">
        <v>Sutehall, Mr. Henry Jr</v>
      </c>
      <c r="F329" t="str">
        <v>male</v>
      </c>
      <c r="G329" t="str">
        <v>...</v>
      </c>
      <c r="H329" t="str">
        <v>SOTON/OQ 392076</v>
      </c>
      <c r="I329">
        <v>7.05</v>
      </c>
      <c r="J329" t="str">
        <v/>
      </c>
      <c r="K329" t="str">
        <v>S</v>
      </c>
      <c r="L329">
        <v>888</v>
      </c>
    </row>
    <row r="330" spans="1:12" x14ac:dyDescent="0.3">
      <c r="B330">
        <v>887</v>
      </c>
      <c r="C330">
        <v>0</v>
      </c>
      <c r="D330">
        <v>2</v>
      </c>
      <c r="E330" t="str">
        <v>Montvila, Rev. Juozas</v>
      </c>
      <c r="F330" t="str">
        <v>male</v>
      </c>
      <c r="G330" t="str">
        <v>...</v>
      </c>
      <c r="H330" t="str">
        <v>211536</v>
      </c>
      <c r="I330">
        <v>13</v>
      </c>
      <c r="J330" t="str">
        <v/>
      </c>
      <c r="K330" t="str">
        <v>S</v>
      </c>
      <c r="L330">
        <v>889</v>
      </c>
    </row>
    <row r="331" spans="1:12" x14ac:dyDescent="0.3">
      <c r="B331">
        <v>889</v>
      </c>
      <c r="C331">
        <v>0</v>
      </c>
      <c r="D331">
        <v>3</v>
      </c>
      <c r="E331" t="str">
        <v>Johnston, Miss. Catherine Helen "Carrie"</v>
      </c>
      <c r="F331" t="str">
        <v>female</v>
      </c>
      <c r="G331" t="str">
        <v>...</v>
      </c>
      <c r="H331" t="str">
        <v>W./C. 6607</v>
      </c>
      <c r="I331">
        <v>23.45</v>
      </c>
      <c r="J331" t="str">
        <v/>
      </c>
      <c r="K331" t="str">
        <v>S</v>
      </c>
      <c r="L331">
        <v>892</v>
      </c>
    </row>
    <row r="332" spans="1:12" x14ac:dyDescent="0.3">
      <c r="B332">
        <v>891</v>
      </c>
      <c r="C332">
        <v>0</v>
      </c>
      <c r="D332">
        <v>3</v>
      </c>
      <c r="E332" t="str">
        <v>Dooley, Mr. Patrick</v>
      </c>
      <c r="F332" t="str">
        <v>male</v>
      </c>
      <c r="G332" t="str">
        <v>...</v>
      </c>
      <c r="H332" t="str">
        <v>370376</v>
      </c>
      <c r="I332">
        <v>7.75</v>
      </c>
      <c r="J332" t="str">
        <v/>
      </c>
      <c r="K332" t="str">
        <v>Q</v>
      </c>
      <c r="L332">
        <v>894</v>
      </c>
    </row>
    <row r="334" spans="1:12" x14ac:dyDescent="0.3">
      <c r="A334" s="20" t="e" cm="1" vm="54">
        <f t="array" ref="A334">_xlfn._xlws.PY(59,1)</f>
        <v>#VALUE!</v>
      </c>
      <c r="B334" t="str" cm="1">
        <f t="array" ref="B334:D336">_FV(A334,"arrayPreview")</f>
        <v>PassengerId</v>
      </c>
      <c r="C334" t="str">
        <v>Survived</v>
      </c>
      <c r="D334" t="str">
        <v>Pclass</v>
      </c>
    </row>
    <row r="335" spans="1:12" x14ac:dyDescent="0.3">
      <c r="B335">
        <v>1</v>
      </c>
      <c r="C335">
        <v>0</v>
      </c>
      <c r="D335">
        <v>3</v>
      </c>
    </row>
    <row r="336" spans="1:12" x14ac:dyDescent="0.3">
      <c r="B336">
        <v>2</v>
      </c>
      <c r="C336">
        <v>1</v>
      </c>
      <c r="D336">
        <v>1</v>
      </c>
    </row>
    <row r="339" spans="1:4" x14ac:dyDescent="0.3">
      <c r="A339" s="20" t="e" cm="1" vm="54">
        <f t="array" ref="A339">_xlfn._xlws.PY(60,1)</f>
        <v>#VALUE!</v>
      </c>
      <c r="B339" t="str" cm="1">
        <f t="array" ref="B339:D341">_FV(A339,"arrayPreview")</f>
        <v>PassengerId</v>
      </c>
      <c r="C339" t="str">
        <v>Survived</v>
      </c>
      <c r="D339" t="str">
        <v>Pclass</v>
      </c>
    </row>
    <row r="340" spans="1:4" x14ac:dyDescent="0.3">
      <c r="B340">
        <v>1</v>
      </c>
      <c r="C340">
        <v>0</v>
      </c>
      <c r="D340">
        <v>3</v>
      </c>
    </row>
    <row r="341" spans="1:4" x14ac:dyDescent="0.3">
      <c r="B341">
        <v>2</v>
      </c>
      <c r="C341">
        <v>1</v>
      </c>
      <c r="D341">
        <v>1</v>
      </c>
    </row>
    <row r="345" spans="1:4" x14ac:dyDescent="0.3">
      <c r="A345" s="20" t="e" cm="1" vm="55">
        <f t="array" ref="A345">_xlfn._xlws.PY(61,1)</f>
        <v>#VALUE!</v>
      </c>
      <c r="B345" t="str" cm="1">
        <f t="array" ref="B345:D348">_FV(A345,"arrayPreview")</f>
        <v>PassengerId</v>
      </c>
      <c r="C345" t="str">
        <v>Survived</v>
      </c>
      <c r="D345" t="str">
        <v>Pclass</v>
      </c>
    </row>
    <row r="346" spans="1:4" x14ac:dyDescent="0.3">
      <c r="B346">
        <v>1</v>
      </c>
      <c r="C346">
        <v>0</v>
      </c>
      <c r="D346">
        <v>3</v>
      </c>
    </row>
    <row r="347" spans="1:4" x14ac:dyDescent="0.3">
      <c r="B347">
        <v>2</v>
      </c>
      <c r="C347">
        <v>1</v>
      </c>
      <c r="D347">
        <v>1</v>
      </c>
    </row>
    <row r="348" spans="1:4" x14ac:dyDescent="0.3">
      <c r="B348">
        <v>3</v>
      </c>
      <c r="C348">
        <v>1</v>
      </c>
      <c r="D348">
        <v>3</v>
      </c>
    </row>
    <row r="351" spans="1:4" x14ac:dyDescent="0.3">
      <c r="A351" cm="1" vm="56">
        <f t="array" ref="A351">_xlfn._xlws.PY(62,1)</f>
        <v>891</v>
      </c>
    </row>
    <row r="353" spans="1:2" x14ac:dyDescent="0.3">
      <c r="A353" s="20" t="e" cm="1" vm="57">
        <f t="array" ref="A353">_xlfn._xlws.PY(10,1)</f>
        <v>#VALUE!</v>
      </c>
      <c r="B353" t="str" cm="1">
        <f t="array" ref="B353">_xlfn._DF_Python_str(A353)</f>
        <v>Index(['PassengerId', 'Survived', 'Pclass', 'Name', 'Sex', 'Age', 'SibSp',
       'Parch', 'Ticket', 'Fare', 'Cabin', 'Embarked', 'new_col1'],
      dtype='object')</v>
      </c>
    </row>
    <row r="357" spans="1:2" x14ac:dyDescent="0.3">
      <c r="A357" s="20" t="e" cm="1" vm="58">
        <f t="array" ref="A357">_xlfn._xlws.PY(63,1)</f>
        <v>#VALUE!</v>
      </c>
      <c r="B357" t="str" cm="1">
        <f t="array" ref="B357:B367">_FV(A357,"arrayPreview")</f>
        <v>Name</v>
      </c>
    </row>
    <row r="358" spans="1:2" x14ac:dyDescent="0.3">
      <c r="B358" t="str">
        <v>Braund, Mr. Owen Harris</v>
      </c>
    </row>
    <row r="359" spans="1:2" x14ac:dyDescent="0.3">
      <c r="B359" t="str">
        <v>Cumings, Mrs. John Bradley (Florence Briggs Thayer)</v>
      </c>
    </row>
    <row r="360" spans="1:2" x14ac:dyDescent="0.3">
      <c r="B360" t="str">
        <v>Heikkinen, Miss. Laina</v>
      </c>
    </row>
    <row r="361" spans="1:2" x14ac:dyDescent="0.3">
      <c r="B361" t="str">
        <v>Futrelle, Mrs. Jacques Heath (Lily May Peel)</v>
      </c>
    </row>
    <row r="362" spans="1:2" x14ac:dyDescent="0.3">
      <c r="B362" t="str">
        <v>Allen, Mr. William Henry</v>
      </c>
    </row>
    <row r="363" spans="1:2" x14ac:dyDescent="0.3">
      <c r="B363" t="str">
        <v>Moran, Mr. James</v>
      </c>
    </row>
    <row r="364" spans="1:2" x14ac:dyDescent="0.3">
      <c r="B364" t="str">
        <v>McCarthy, Mr. Timothy J</v>
      </c>
    </row>
    <row r="365" spans="1:2" x14ac:dyDescent="0.3">
      <c r="B365" t="str">
        <v>Palsson, Master. Gosta Leonard</v>
      </c>
    </row>
    <row r="366" spans="1:2" x14ac:dyDescent="0.3">
      <c r="B366" t="str">
        <v>Johnson, Mrs. Oscar W (Elisabeth Vilhelmina Berg)</v>
      </c>
    </row>
    <row r="367" spans="1:2" x14ac:dyDescent="0.3">
      <c r="B367" t="str">
        <v>Nasser, Mrs. Nicholas (Adele Achem)</v>
      </c>
    </row>
    <row r="369" spans="1:12" x14ac:dyDescent="0.3">
      <c r="A369" t="str" cm="1" vm="59">
        <f t="array" ref="A369">_xlfn._xlws.PY(64,1)</f>
        <v>Braund, Mr. Owen Harris</v>
      </c>
    </row>
    <row r="371" spans="1:12" x14ac:dyDescent="0.3">
      <c r="A371" cm="1" vm="36">
        <f t="array" ref="A371">_xlfn._xlws.PY(65,1)</f>
        <v>0</v>
      </c>
    </row>
    <row r="373" spans="1:12" x14ac:dyDescent="0.3">
      <c r="A373" cm="1" vm="36">
        <f t="array" ref="A373">_xlfn._xlws.PY(66,1)</f>
        <v>0</v>
      </c>
    </row>
    <row r="375" spans="1:12" x14ac:dyDescent="0.3">
      <c r="A375" s="20" t="e" cm="1" vm="60">
        <f t="array" ref="A375">_xlfn._xlws.PY(41,1)</f>
        <v>#VALUE!</v>
      </c>
      <c r="B375" t="str" cm="1">
        <f t="array" ref="B375:L386">_FV(A375,"arrayPreview")</f>
        <v>Survived</v>
      </c>
      <c r="C375" t="str">
        <v>Pclass</v>
      </c>
      <c r="D375" t="str">
        <v>Name</v>
      </c>
      <c r="E375" t="str">
        <v>Sex</v>
      </c>
      <c r="F375" t="str">
        <v>Age</v>
      </c>
      <c r="G375" t="str">
        <v>...</v>
      </c>
      <c r="H375" t="str">
        <v>Ticket</v>
      </c>
      <c r="I375" t="str">
        <v>Fare</v>
      </c>
      <c r="J375" t="str">
        <v>Cabin</v>
      </c>
      <c r="K375" t="str">
        <v>Embarked</v>
      </c>
      <c r="L375" t="str">
        <v>new_col1</v>
      </c>
    </row>
    <row r="376" spans="1:12" x14ac:dyDescent="0.3">
      <c r="B376">
        <v>0</v>
      </c>
      <c r="C376">
        <v>3</v>
      </c>
      <c r="D376" t="str">
        <v>Braund, Mr. Owen Harris</v>
      </c>
      <c r="E376" t="str">
        <v>male</v>
      </c>
      <c r="F376">
        <v>22</v>
      </c>
      <c r="G376" t="str">
        <v>...</v>
      </c>
      <c r="H376" t="str">
        <v>A/5 21171</v>
      </c>
      <c r="I376">
        <v>7.25</v>
      </c>
      <c r="J376" t="str">
        <v/>
      </c>
      <c r="K376" t="str">
        <v>S</v>
      </c>
      <c r="L376">
        <v>4</v>
      </c>
    </row>
    <row r="377" spans="1:12" x14ac:dyDescent="0.3">
      <c r="B377">
        <v>1</v>
      </c>
      <c r="C377">
        <v>1</v>
      </c>
      <c r="D377" t="str">
        <v>Cumings, Mrs. John Bradley (Florence Briggs Thayer)</v>
      </c>
      <c r="E377" t="str">
        <v>female</v>
      </c>
      <c r="F377">
        <v>38</v>
      </c>
      <c r="G377" t="str">
        <v>...</v>
      </c>
      <c r="H377" t="str">
        <v>PC 17599</v>
      </c>
      <c r="I377">
        <v>71.283299999999997</v>
      </c>
      <c r="J377" t="str">
        <v>C85</v>
      </c>
      <c r="K377" t="str">
        <v>C</v>
      </c>
      <c r="L377">
        <v>3</v>
      </c>
    </row>
    <row r="378" spans="1:12" x14ac:dyDescent="0.3">
      <c r="B378">
        <v>1</v>
      </c>
      <c r="C378">
        <v>3</v>
      </c>
      <c r="D378" t="str">
        <v>Heikkinen, Miss. Laina</v>
      </c>
      <c r="E378" t="str">
        <v>female</v>
      </c>
      <c r="F378">
        <v>26</v>
      </c>
      <c r="G378" t="str">
        <v>...</v>
      </c>
      <c r="H378" t="str">
        <v>STON/O2. 3101282</v>
      </c>
      <c r="I378">
        <v>7.9249999999999998</v>
      </c>
      <c r="J378" t="str">
        <v/>
      </c>
      <c r="K378" t="str">
        <v>S</v>
      </c>
      <c r="L378">
        <v>6</v>
      </c>
    </row>
    <row r="379" spans="1:12" x14ac:dyDescent="0.3">
      <c r="B379">
        <v>0</v>
      </c>
      <c r="C379">
        <v>3</v>
      </c>
      <c r="D379" t="str">
        <v>Allen, Mr. William Henry</v>
      </c>
      <c r="E379" t="str">
        <v>male</v>
      </c>
      <c r="F379">
        <v>35</v>
      </c>
      <c r="G379" t="str">
        <v>...</v>
      </c>
      <c r="H379" t="str">
        <v>373450</v>
      </c>
      <c r="I379">
        <v>8.0500000000000007</v>
      </c>
      <c r="J379" t="str">
        <v/>
      </c>
      <c r="K379" t="str">
        <v>S</v>
      </c>
      <c r="L379">
        <v>8</v>
      </c>
    </row>
    <row r="380" spans="1:12" x14ac:dyDescent="0.3">
      <c r="B380">
        <v>0</v>
      </c>
      <c r="C380">
        <v>3</v>
      </c>
      <c r="D380" t="str">
        <v>Moran, Mr. James</v>
      </c>
      <c r="E380" t="str">
        <v>male</v>
      </c>
      <c r="F380" t="e">
        <v>#NUM!</v>
      </c>
      <c r="G380" t="str">
        <v>...</v>
      </c>
      <c r="H380" t="str">
        <v>330877</v>
      </c>
      <c r="I380">
        <v>8.4582999999999995</v>
      </c>
      <c r="J380" t="str">
        <v/>
      </c>
      <c r="K380" t="str">
        <v>Q</v>
      </c>
      <c r="L380">
        <v>9</v>
      </c>
    </row>
    <row r="381" spans="1:12" x14ac:dyDescent="0.3">
      <c r="B381" t="str">
        <v>...</v>
      </c>
      <c r="C381" t="str">
        <v>...</v>
      </c>
      <c r="D381" t="str">
        <v>...</v>
      </c>
      <c r="E381" t="str">
        <v>...</v>
      </c>
      <c r="F381" t="str">
        <v>...</v>
      </c>
      <c r="G381" t="str">
        <v>...</v>
      </c>
      <c r="H381" t="str">
        <v>...</v>
      </c>
      <c r="I381" t="str">
        <v>...</v>
      </c>
      <c r="J381" t="str">
        <v>...</v>
      </c>
      <c r="K381" t="str">
        <v>...</v>
      </c>
      <c r="L381" t="str">
        <v>...</v>
      </c>
    </row>
    <row r="382" spans="1:12" x14ac:dyDescent="0.3">
      <c r="B382">
        <v>0</v>
      </c>
      <c r="C382">
        <v>2</v>
      </c>
      <c r="D382" t="str">
        <v>Montvila, Rev. Juozas</v>
      </c>
      <c r="E382" t="str">
        <v>male</v>
      </c>
      <c r="F382">
        <v>27</v>
      </c>
      <c r="G382" t="str">
        <v>...</v>
      </c>
      <c r="H382" t="str">
        <v>211536</v>
      </c>
      <c r="I382">
        <v>13</v>
      </c>
      <c r="J382" t="str">
        <v/>
      </c>
      <c r="K382" t="str">
        <v>S</v>
      </c>
      <c r="L382">
        <v>889</v>
      </c>
    </row>
    <row r="383" spans="1:12" x14ac:dyDescent="0.3">
      <c r="B383">
        <v>1</v>
      </c>
      <c r="C383">
        <v>1</v>
      </c>
      <c r="D383" t="str">
        <v>Graham, Miss. Margaret Edith</v>
      </c>
      <c r="E383" t="str">
        <v>female</v>
      </c>
      <c r="F383">
        <v>19</v>
      </c>
      <c r="G383" t="str">
        <v>...</v>
      </c>
      <c r="H383" t="str">
        <v>112053</v>
      </c>
      <c r="I383">
        <v>30</v>
      </c>
      <c r="J383" t="str">
        <v>B42</v>
      </c>
      <c r="K383" t="str">
        <v>S</v>
      </c>
      <c r="L383">
        <v>889</v>
      </c>
    </row>
    <row r="384" spans="1:12" x14ac:dyDescent="0.3">
      <c r="B384">
        <v>0</v>
      </c>
      <c r="C384">
        <v>3</v>
      </c>
      <c r="D384" t="str">
        <v>Johnston, Miss. Catherine Helen "Carrie"</v>
      </c>
      <c r="E384" t="str">
        <v>female</v>
      </c>
      <c r="F384" t="e">
        <v>#NUM!</v>
      </c>
      <c r="G384" t="str">
        <v>...</v>
      </c>
      <c r="H384" t="str">
        <v>W./C. 6607</v>
      </c>
      <c r="I384">
        <v>23.45</v>
      </c>
      <c r="J384" t="str">
        <v/>
      </c>
      <c r="K384" t="str">
        <v>S</v>
      </c>
      <c r="L384">
        <v>892</v>
      </c>
    </row>
    <row r="385" spans="1:13" x14ac:dyDescent="0.3">
      <c r="B385">
        <v>1</v>
      </c>
      <c r="C385">
        <v>1</v>
      </c>
      <c r="D385" t="str">
        <v>Behr, Mr. Karl Howell</v>
      </c>
      <c r="E385" t="str">
        <v>male</v>
      </c>
      <c r="F385">
        <v>26</v>
      </c>
      <c r="G385" t="str">
        <v>...</v>
      </c>
      <c r="H385" t="str">
        <v>111369</v>
      </c>
      <c r="I385">
        <v>30</v>
      </c>
      <c r="J385" t="str">
        <v>C148</v>
      </c>
      <c r="K385" t="str">
        <v>C</v>
      </c>
      <c r="L385">
        <v>891</v>
      </c>
    </row>
    <row r="386" spans="1:13" x14ac:dyDescent="0.3">
      <c r="B386">
        <v>0</v>
      </c>
      <c r="C386">
        <v>3</v>
      </c>
      <c r="D386" t="str">
        <v>Dooley, Mr. Patrick</v>
      </c>
      <c r="E386" t="str">
        <v>male</v>
      </c>
      <c r="F386">
        <v>32</v>
      </c>
      <c r="G386" t="str">
        <v>...</v>
      </c>
      <c r="H386" t="str">
        <v>370376</v>
      </c>
      <c r="I386">
        <v>7.75</v>
      </c>
      <c r="J386" t="str">
        <v/>
      </c>
      <c r="K386" t="str">
        <v>Q</v>
      </c>
      <c r="L386">
        <v>894</v>
      </c>
    </row>
    <row r="389" spans="1:13" x14ac:dyDescent="0.3">
      <c r="A389" cm="1" vm="36">
        <f t="array" ref="A389">_xlfn._xlws.PY(67,1)</f>
        <v>0</v>
      </c>
    </row>
    <row r="391" spans="1:13" x14ac:dyDescent="0.3">
      <c r="A391" s="20" t="e" cm="1" vm="61">
        <f t="array" ref="A391">_xlfn._xlws.PY(41,1)</f>
        <v>#VALUE!</v>
      </c>
      <c r="B391" t="str" cm="1">
        <f t="array" ref="B391:M403">_FV(A391,"arrayPreview")</f>
        <v/>
      </c>
      <c r="C391" t="str">
        <v>Survived</v>
      </c>
      <c r="D391" t="str">
        <v>Pclass</v>
      </c>
      <c r="E391" t="str">
        <v>Sex</v>
      </c>
      <c r="F391" t="str">
        <v>Age</v>
      </c>
      <c r="G391" t="str">
        <v>SibSp</v>
      </c>
      <c r="H391" t="str">
        <v>...</v>
      </c>
      <c r="I391" t="str">
        <v>Ticket</v>
      </c>
      <c r="J391" t="str">
        <v>Fare</v>
      </c>
      <c r="K391" t="str">
        <v>Cabin</v>
      </c>
      <c r="L391" t="str">
        <v>Embarked</v>
      </c>
      <c r="M391" t="str">
        <v>new_col1</v>
      </c>
    </row>
    <row r="392" spans="1:13" x14ac:dyDescent="0.3">
      <c r="B392" t="str">
        <v>Name</v>
      </c>
      <c r="C392" t="str">
        <v/>
      </c>
      <c r="D392" t="str">
        <v/>
      </c>
      <c r="E392" t="str">
        <v/>
      </c>
      <c r="F392" t="str">
        <v/>
      </c>
      <c r="G392" t="str">
        <v/>
      </c>
      <c r="H392" t="str">
        <v/>
      </c>
      <c r="I392" t="str">
        <v/>
      </c>
      <c r="J392" t="str">
        <v/>
      </c>
      <c r="K392" t="str">
        <v/>
      </c>
      <c r="L392" t="str">
        <v/>
      </c>
      <c r="M392" t="str">
        <v/>
      </c>
    </row>
    <row r="393" spans="1:13" x14ac:dyDescent="0.3">
      <c r="B393" t="str">
        <v>Braund, Mr. Owen Harris</v>
      </c>
      <c r="C393">
        <v>0</v>
      </c>
      <c r="D393">
        <v>3</v>
      </c>
      <c r="E393" t="str">
        <v>male</v>
      </c>
      <c r="F393">
        <v>22</v>
      </c>
      <c r="G393">
        <v>1</v>
      </c>
      <c r="H393" t="str">
        <v>...</v>
      </c>
      <c r="I393" t="str">
        <v>A/5 21171</v>
      </c>
      <c r="J393">
        <v>7.25</v>
      </c>
      <c r="K393" t="str">
        <v/>
      </c>
      <c r="L393" t="str">
        <v>S</v>
      </c>
      <c r="M393">
        <v>4</v>
      </c>
    </row>
    <row r="394" spans="1:13" x14ac:dyDescent="0.3">
      <c r="B394" t="str">
        <v>Cumings, Mrs. John Bradley (Florence Briggs Thayer)</v>
      </c>
      <c r="C394">
        <v>1</v>
      </c>
      <c r="D394">
        <v>1</v>
      </c>
      <c r="E394" t="str">
        <v>female</v>
      </c>
      <c r="F394">
        <v>38</v>
      </c>
      <c r="G394">
        <v>1</v>
      </c>
      <c r="H394" t="str">
        <v>...</v>
      </c>
      <c r="I394" t="str">
        <v>PC 17599</v>
      </c>
      <c r="J394">
        <v>71.283299999999997</v>
      </c>
      <c r="K394" t="str">
        <v>C85</v>
      </c>
      <c r="L394" t="str">
        <v>C</v>
      </c>
      <c r="M394">
        <v>3</v>
      </c>
    </row>
    <row r="395" spans="1:13" x14ac:dyDescent="0.3">
      <c r="B395" t="str">
        <v>Heikkinen, Miss. Laina</v>
      </c>
      <c r="C395">
        <v>1</v>
      </c>
      <c r="D395">
        <v>3</v>
      </c>
      <c r="E395" t="str">
        <v>female</v>
      </c>
      <c r="F395">
        <v>26</v>
      </c>
      <c r="G395">
        <v>0</v>
      </c>
      <c r="H395" t="str">
        <v>...</v>
      </c>
      <c r="I395" t="str">
        <v>STON/O2. 3101282</v>
      </c>
      <c r="J395">
        <v>7.9249999999999998</v>
      </c>
      <c r="K395" t="str">
        <v/>
      </c>
      <c r="L395" t="str">
        <v>S</v>
      </c>
      <c r="M395">
        <v>6</v>
      </c>
    </row>
    <row r="396" spans="1:13" x14ac:dyDescent="0.3">
      <c r="B396" t="str">
        <v>Allen, Mr. William Henry</v>
      </c>
      <c r="C396">
        <v>0</v>
      </c>
      <c r="D396">
        <v>3</v>
      </c>
      <c r="E396" t="str">
        <v>male</v>
      </c>
      <c r="F396">
        <v>35</v>
      </c>
      <c r="G396">
        <v>0</v>
      </c>
      <c r="H396" t="str">
        <v>...</v>
      </c>
      <c r="I396" t="str">
        <v>373450</v>
      </c>
      <c r="J396">
        <v>8.0500000000000007</v>
      </c>
      <c r="K396" t="str">
        <v/>
      </c>
      <c r="L396" t="str">
        <v>S</v>
      </c>
      <c r="M396">
        <v>8</v>
      </c>
    </row>
    <row r="397" spans="1:13" x14ac:dyDescent="0.3">
      <c r="B397" t="str">
        <v>Moran, Mr. James</v>
      </c>
      <c r="C397">
        <v>0</v>
      </c>
      <c r="D397">
        <v>3</v>
      </c>
      <c r="E397" t="str">
        <v>male</v>
      </c>
      <c r="F397" t="e">
        <v>#NUM!</v>
      </c>
      <c r="G397">
        <v>0</v>
      </c>
      <c r="H397" t="str">
        <v>...</v>
      </c>
      <c r="I397" t="str">
        <v>330877</v>
      </c>
      <c r="J397">
        <v>8.4582999999999995</v>
      </c>
      <c r="K397" t="str">
        <v/>
      </c>
      <c r="L397" t="str">
        <v>Q</v>
      </c>
      <c r="M397">
        <v>9</v>
      </c>
    </row>
    <row r="398" spans="1:13" x14ac:dyDescent="0.3">
      <c r="B398" t="str">
        <v>...</v>
      </c>
      <c r="C398" t="str">
        <v>...</v>
      </c>
      <c r="D398" t="str">
        <v>...</v>
      </c>
      <c r="E398" t="str">
        <v>...</v>
      </c>
      <c r="F398" t="str">
        <v>...</v>
      </c>
      <c r="G398" t="str">
        <v>...</v>
      </c>
      <c r="H398" t="str">
        <v>...</v>
      </c>
      <c r="I398" t="str">
        <v>...</v>
      </c>
      <c r="J398" t="str">
        <v>...</v>
      </c>
      <c r="K398" t="str">
        <v>...</v>
      </c>
      <c r="L398" t="str">
        <v>...</v>
      </c>
      <c r="M398" t="str">
        <v>...</v>
      </c>
    </row>
    <row r="399" spans="1:13" x14ac:dyDescent="0.3">
      <c r="B399" t="str">
        <v>Montvila, Rev. Juozas</v>
      </c>
      <c r="C399">
        <v>0</v>
      </c>
      <c r="D399">
        <v>2</v>
      </c>
      <c r="E399" t="str">
        <v>male</v>
      </c>
      <c r="F399">
        <v>27</v>
      </c>
      <c r="G399">
        <v>0</v>
      </c>
      <c r="H399" t="str">
        <v>...</v>
      </c>
      <c r="I399" t="str">
        <v>211536</v>
      </c>
      <c r="J399">
        <v>13</v>
      </c>
      <c r="K399" t="str">
        <v/>
      </c>
      <c r="L399" t="str">
        <v>S</v>
      </c>
      <c r="M399">
        <v>889</v>
      </c>
    </row>
    <row r="400" spans="1:13" x14ac:dyDescent="0.3">
      <c r="B400" t="str">
        <v>Graham, Miss. Margaret Edith</v>
      </c>
      <c r="C400">
        <v>1</v>
      </c>
      <c r="D400">
        <v>1</v>
      </c>
      <c r="E400" t="str">
        <v>female</v>
      </c>
      <c r="F400">
        <v>19</v>
      </c>
      <c r="G400">
        <v>0</v>
      </c>
      <c r="H400" t="str">
        <v>...</v>
      </c>
      <c r="I400" t="str">
        <v>112053</v>
      </c>
      <c r="J400">
        <v>30</v>
      </c>
      <c r="K400" t="str">
        <v>B42</v>
      </c>
      <c r="L400" t="str">
        <v>S</v>
      </c>
      <c r="M400">
        <v>889</v>
      </c>
    </row>
    <row r="401" spans="1:13" x14ac:dyDescent="0.3">
      <c r="B401" t="str">
        <v>Johnston, Miss. Catherine Helen "Carrie"</v>
      </c>
      <c r="C401">
        <v>0</v>
      </c>
      <c r="D401">
        <v>3</v>
      </c>
      <c r="E401" t="str">
        <v>female</v>
      </c>
      <c r="F401" t="e">
        <v>#NUM!</v>
      </c>
      <c r="G401">
        <v>1</v>
      </c>
      <c r="H401" t="str">
        <v>...</v>
      </c>
      <c r="I401" t="str">
        <v>W./C. 6607</v>
      </c>
      <c r="J401">
        <v>23.45</v>
      </c>
      <c r="K401" t="str">
        <v/>
      </c>
      <c r="L401" t="str">
        <v>S</v>
      </c>
      <c r="M401">
        <v>892</v>
      </c>
    </row>
    <row r="402" spans="1:13" x14ac:dyDescent="0.3">
      <c r="B402" t="str">
        <v>Behr, Mr. Karl Howell</v>
      </c>
      <c r="C402">
        <v>1</v>
      </c>
      <c r="D402">
        <v>1</v>
      </c>
      <c r="E402" t="str">
        <v>male</v>
      </c>
      <c r="F402">
        <v>26</v>
      </c>
      <c r="G402">
        <v>0</v>
      </c>
      <c r="H402" t="str">
        <v>...</v>
      </c>
      <c r="I402" t="str">
        <v>111369</v>
      </c>
      <c r="J402">
        <v>30</v>
      </c>
      <c r="K402" t="str">
        <v>C148</v>
      </c>
      <c r="L402" t="str">
        <v>C</v>
      </c>
      <c r="M402">
        <v>891</v>
      </c>
    </row>
    <row r="403" spans="1:13" x14ac:dyDescent="0.3">
      <c r="B403" t="str">
        <v>Dooley, Mr. Patrick</v>
      </c>
      <c r="C403">
        <v>0</v>
      </c>
      <c r="D403">
        <v>3</v>
      </c>
      <c r="E403" t="str">
        <v>male</v>
      </c>
      <c r="F403">
        <v>32</v>
      </c>
      <c r="G403">
        <v>0</v>
      </c>
      <c r="H403" t="str">
        <v>...</v>
      </c>
      <c r="I403" t="str">
        <v>370376</v>
      </c>
      <c r="J403">
        <v>7.75</v>
      </c>
      <c r="K403" t="str">
        <v/>
      </c>
      <c r="L403" t="str">
        <v>Q</v>
      </c>
      <c r="M403">
        <v>894</v>
      </c>
    </row>
    <row r="406" spans="1:13" x14ac:dyDescent="0.3">
      <c r="A406" s="20" t="e" cm="1" vm="62">
        <f t="array" ref="A406">_xlfn._xlws.PY(68,1)</f>
        <v>#VALUE!</v>
      </c>
      <c r="B406" t="str" cm="1">
        <f t="array" ref="B406:L417">_FV(A406,"arrayPreview")</f>
        <v>Name</v>
      </c>
      <c r="C406" t="str">
        <v>Survived</v>
      </c>
      <c r="D406" t="str">
        <v>Pclass</v>
      </c>
      <c r="E406" t="str">
        <v>Sex</v>
      </c>
      <c r="F406" t="str">
        <v>Age</v>
      </c>
      <c r="G406" t="str">
        <v>...</v>
      </c>
      <c r="H406" t="str">
        <v>Ticket</v>
      </c>
      <c r="I406" t="str">
        <v>Fare</v>
      </c>
      <c r="J406" t="str">
        <v>Cabin</v>
      </c>
      <c r="K406" t="str">
        <v>Embarked</v>
      </c>
      <c r="L406" t="str">
        <v>new_col1</v>
      </c>
    </row>
    <row r="407" spans="1:13" x14ac:dyDescent="0.3">
      <c r="B407" t="str">
        <v>Braund, Mr. Owen Harris</v>
      </c>
      <c r="C407">
        <v>0</v>
      </c>
      <c r="D407">
        <v>3</v>
      </c>
      <c r="E407" t="str">
        <v>male</v>
      </c>
      <c r="F407">
        <v>22</v>
      </c>
      <c r="G407" t="str">
        <v>...</v>
      </c>
      <c r="H407" t="str">
        <v>A/5 21171</v>
      </c>
      <c r="I407">
        <v>7.25</v>
      </c>
      <c r="J407" t="str">
        <v/>
      </c>
      <c r="K407" t="str">
        <v>S</v>
      </c>
      <c r="L407">
        <v>4</v>
      </c>
    </row>
    <row r="408" spans="1:13" x14ac:dyDescent="0.3">
      <c r="B408" t="str">
        <v>Cumings, Mrs. John Bradley (Florence Briggs Thayer)</v>
      </c>
      <c r="C408">
        <v>1</v>
      </c>
      <c r="D408">
        <v>1</v>
      </c>
      <c r="E408" t="str">
        <v>female</v>
      </c>
      <c r="F408">
        <v>38</v>
      </c>
      <c r="G408" t="str">
        <v>...</v>
      </c>
      <c r="H408" t="str">
        <v>PC 17599</v>
      </c>
      <c r="I408">
        <v>71.283299999999997</v>
      </c>
      <c r="J408" t="str">
        <v>C85</v>
      </c>
      <c r="K408" t="str">
        <v>C</v>
      </c>
      <c r="L408">
        <v>3</v>
      </c>
    </row>
    <row r="409" spans="1:13" x14ac:dyDescent="0.3">
      <c r="B409" t="str">
        <v>Heikkinen, Miss. Laina</v>
      </c>
      <c r="C409">
        <v>1</v>
      </c>
      <c r="D409">
        <v>3</v>
      </c>
      <c r="E409" t="str">
        <v>female</v>
      </c>
      <c r="F409">
        <v>26</v>
      </c>
      <c r="G409" t="str">
        <v>...</v>
      </c>
      <c r="H409" t="str">
        <v>STON/O2. 3101282</v>
      </c>
      <c r="I409">
        <v>7.9249999999999998</v>
      </c>
      <c r="J409" t="str">
        <v/>
      </c>
      <c r="K409" t="str">
        <v>S</v>
      </c>
      <c r="L409">
        <v>6</v>
      </c>
    </row>
    <row r="410" spans="1:13" x14ac:dyDescent="0.3">
      <c r="B410" t="str">
        <v>Allen, Mr. William Henry</v>
      </c>
      <c r="C410">
        <v>0</v>
      </c>
      <c r="D410">
        <v>3</v>
      </c>
      <c r="E410" t="str">
        <v>male</v>
      </c>
      <c r="F410">
        <v>35</v>
      </c>
      <c r="G410" t="str">
        <v>...</v>
      </c>
      <c r="H410" t="str">
        <v>373450</v>
      </c>
      <c r="I410">
        <v>8.0500000000000007</v>
      </c>
      <c r="J410" t="str">
        <v/>
      </c>
      <c r="K410" t="str">
        <v>S</v>
      </c>
      <c r="L410">
        <v>8</v>
      </c>
    </row>
    <row r="411" spans="1:13" x14ac:dyDescent="0.3">
      <c r="B411" t="str">
        <v>Moran, Mr. James</v>
      </c>
      <c r="C411">
        <v>0</v>
      </c>
      <c r="D411">
        <v>3</v>
      </c>
      <c r="E411" t="str">
        <v>male</v>
      </c>
      <c r="F411" t="e">
        <v>#NUM!</v>
      </c>
      <c r="G411" t="str">
        <v>...</v>
      </c>
      <c r="H411" t="str">
        <v>330877</v>
      </c>
      <c r="I411">
        <v>8.4582999999999995</v>
      </c>
      <c r="J411" t="str">
        <v/>
      </c>
      <c r="K411" t="str">
        <v>Q</v>
      </c>
      <c r="L411">
        <v>9</v>
      </c>
    </row>
    <row r="412" spans="1:13" x14ac:dyDescent="0.3">
      <c r="B412" t="str">
        <v>...</v>
      </c>
      <c r="C412" t="str">
        <v>...</v>
      </c>
      <c r="D412" t="str">
        <v>...</v>
      </c>
      <c r="E412" t="str">
        <v>...</v>
      </c>
      <c r="F412" t="str">
        <v>...</v>
      </c>
      <c r="G412" t="str">
        <v>...</v>
      </c>
      <c r="H412" t="str">
        <v>...</v>
      </c>
      <c r="I412" t="str">
        <v>...</v>
      </c>
      <c r="J412" t="str">
        <v>...</v>
      </c>
      <c r="K412" t="str">
        <v>...</v>
      </c>
      <c r="L412" t="str">
        <v>...</v>
      </c>
    </row>
    <row r="413" spans="1:13" x14ac:dyDescent="0.3">
      <c r="B413" t="str">
        <v>Montvila, Rev. Juozas</v>
      </c>
      <c r="C413">
        <v>0</v>
      </c>
      <c r="D413">
        <v>2</v>
      </c>
      <c r="E413" t="str">
        <v>male</v>
      </c>
      <c r="F413">
        <v>27</v>
      </c>
      <c r="G413" t="str">
        <v>...</v>
      </c>
      <c r="H413" t="str">
        <v>211536</v>
      </c>
      <c r="I413">
        <v>13</v>
      </c>
      <c r="J413" t="str">
        <v/>
      </c>
      <c r="K413" t="str">
        <v>S</v>
      </c>
      <c r="L413">
        <v>889</v>
      </c>
    </row>
    <row r="414" spans="1:13" x14ac:dyDescent="0.3">
      <c r="B414" t="str">
        <v>Graham, Miss. Margaret Edith</v>
      </c>
      <c r="C414">
        <v>1</v>
      </c>
      <c r="D414">
        <v>1</v>
      </c>
      <c r="E414" t="str">
        <v>female</v>
      </c>
      <c r="F414">
        <v>19</v>
      </c>
      <c r="G414" t="str">
        <v>...</v>
      </c>
      <c r="H414" t="str">
        <v>112053</v>
      </c>
      <c r="I414">
        <v>30</v>
      </c>
      <c r="J414" t="str">
        <v>B42</v>
      </c>
      <c r="K414" t="str">
        <v>S</v>
      </c>
      <c r="L414">
        <v>889</v>
      </c>
    </row>
    <row r="415" spans="1:13" x14ac:dyDescent="0.3">
      <c r="B415" t="str">
        <v>Johnston, Miss. Catherine Helen "Carrie"</v>
      </c>
      <c r="C415">
        <v>0</v>
      </c>
      <c r="D415">
        <v>3</v>
      </c>
      <c r="E415" t="str">
        <v>female</v>
      </c>
      <c r="F415" t="e">
        <v>#NUM!</v>
      </c>
      <c r="G415" t="str">
        <v>...</v>
      </c>
      <c r="H415" t="str">
        <v>W./C. 6607</v>
      </c>
      <c r="I415">
        <v>23.45</v>
      </c>
      <c r="J415" t="str">
        <v/>
      </c>
      <c r="K415" t="str">
        <v>S</v>
      </c>
      <c r="L415">
        <v>892</v>
      </c>
    </row>
    <row r="416" spans="1:13" x14ac:dyDescent="0.3">
      <c r="B416" t="str">
        <v>Behr, Mr. Karl Howell</v>
      </c>
      <c r="C416">
        <v>1</v>
      </c>
      <c r="D416">
        <v>1</v>
      </c>
      <c r="E416" t="str">
        <v>male</v>
      </c>
      <c r="F416">
        <v>26</v>
      </c>
      <c r="G416" t="str">
        <v>...</v>
      </c>
      <c r="H416" t="str">
        <v>111369</v>
      </c>
      <c r="I416">
        <v>30</v>
      </c>
      <c r="J416" t="str">
        <v>C148</v>
      </c>
      <c r="K416" t="str">
        <v>C</v>
      </c>
      <c r="L416">
        <v>891</v>
      </c>
    </row>
    <row r="417" spans="1:13" x14ac:dyDescent="0.3">
      <c r="B417" t="str">
        <v>Dooley, Mr. Patrick</v>
      </c>
      <c r="C417">
        <v>0</v>
      </c>
      <c r="D417">
        <v>3</v>
      </c>
      <c r="E417" t="str">
        <v>male</v>
      </c>
      <c r="F417">
        <v>32</v>
      </c>
      <c r="G417" t="str">
        <v>...</v>
      </c>
      <c r="H417" t="str">
        <v>370376</v>
      </c>
      <c r="I417">
        <v>7.75</v>
      </c>
      <c r="J417" t="str">
        <v/>
      </c>
      <c r="K417" t="str">
        <v>Q</v>
      </c>
      <c r="L417">
        <v>894</v>
      </c>
    </row>
    <row r="420" spans="1:13" x14ac:dyDescent="0.3">
      <c r="A420" s="20" t="e" cm="1" vm="63">
        <f t="array" ref="A420">_xlfn._xlws.PY(69,1)</f>
        <v>#VALUE!</v>
      </c>
      <c r="B420" t="str" cm="1">
        <f t="array" ref="B420:M432">_FV(A420,"arrayPreview")</f>
        <v/>
      </c>
      <c r="C420" t="str">
        <v>Survived</v>
      </c>
      <c r="D420" t="str">
        <v>Pclass</v>
      </c>
      <c r="E420" t="str">
        <v>Sex</v>
      </c>
      <c r="F420" t="str">
        <v>Age</v>
      </c>
      <c r="G420" t="str">
        <v>SibSp</v>
      </c>
      <c r="H420" t="str">
        <v>...</v>
      </c>
      <c r="I420" t="str">
        <v>Ticket</v>
      </c>
      <c r="J420" t="str">
        <v>Fare</v>
      </c>
      <c r="K420" t="str">
        <v>Cabin</v>
      </c>
      <c r="L420" t="str">
        <v>Embarked</v>
      </c>
      <c r="M420" t="str">
        <v>new_col1</v>
      </c>
    </row>
    <row r="421" spans="1:13" x14ac:dyDescent="0.3">
      <c r="B421" t="str">
        <v>Name</v>
      </c>
      <c r="C421" t="str">
        <v/>
      </c>
      <c r="D421" t="str">
        <v/>
      </c>
      <c r="E421" t="str">
        <v/>
      </c>
      <c r="F421" t="str">
        <v/>
      </c>
      <c r="G421" t="str">
        <v/>
      </c>
      <c r="H421" t="str">
        <v/>
      </c>
      <c r="I421" t="str">
        <v/>
      </c>
      <c r="J421" t="str">
        <v/>
      </c>
      <c r="K421" t="str">
        <v/>
      </c>
      <c r="L421" t="str">
        <v/>
      </c>
      <c r="M421" t="str">
        <v/>
      </c>
    </row>
    <row r="422" spans="1:13" x14ac:dyDescent="0.3">
      <c r="B422" t="str">
        <v>Braund, Mr. Owen Harris</v>
      </c>
      <c r="C422">
        <v>0</v>
      </c>
      <c r="D422">
        <v>3</v>
      </c>
      <c r="E422" t="str">
        <v>male</v>
      </c>
      <c r="F422">
        <v>22</v>
      </c>
      <c r="G422">
        <v>1</v>
      </c>
      <c r="H422" t="str">
        <v>...</v>
      </c>
      <c r="I422" t="str">
        <v>A/5 21171</v>
      </c>
      <c r="J422">
        <v>7.25</v>
      </c>
      <c r="K422" t="str">
        <v/>
      </c>
      <c r="L422" t="str">
        <v>S</v>
      </c>
      <c r="M422">
        <v>4</v>
      </c>
    </row>
    <row r="423" spans="1:13" x14ac:dyDescent="0.3">
      <c r="B423" t="str">
        <v>Cumings, Mrs. John Bradley (Florence Briggs Thayer)</v>
      </c>
      <c r="C423">
        <v>1</v>
      </c>
      <c r="D423">
        <v>1</v>
      </c>
      <c r="E423" t="str">
        <v>female</v>
      </c>
      <c r="F423">
        <v>38</v>
      </c>
      <c r="G423">
        <v>1</v>
      </c>
      <c r="H423" t="str">
        <v>...</v>
      </c>
      <c r="I423" t="str">
        <v>PC 17599</v>
      </c>
      <c r="J423">
        <v>71.283299999999997</v>
      </c>
      <c r="K423" t="str">
        <v>C85</v>
      </c>
      <c r="L423" t="str">
        <v>C</v>
      </c>
      <c r="M423">
        <v>3</v>
      </c>
    </row>
    <row r="424" spans="1:13" x14ac:dyDescent="0.3">
      <c r="B424" t="str">
        <v>Heikkinen, Miss. Laina</v>
      </c>
      <c r="C424">
        <v>1</v>
      </c>
      <c r="D424">
        <v>3</v>
      </c>
      <c r="E424" t="str">
        <v>female</v>
      </c>
      <c r="F424">
        <v>26</v>
      </c>
      <c r="G424">
        <v>0</v>
      </c>
      <c r="H424" t="str">
        <v>...</v>
      </c>
      <c r="I424" t="str">
        <v>STON/O2. 3101282</v>
      </c>
      <c r="J424">
        <v>7.9249999999999998</v>
      </c>
      <c r="K424" t="str">
        <v/>
      </c>
      <c r="L424" t="str">
        <v>S</v>
      </c>
      <c r="M424">
        <v>6</v>
      </c>
    </row>
    <row r="425" spans="1:13" x14ac:dyDescent="0.3">
      <c r="B425" t="str">
        <v>Allen, Mr. William Henry</v>
      </c>
      <c r="C425">
        <v>0</v>
      </c>
      <c r="D425">
        <v>3</v>
      </c>
      <c r="E425" t="str">
        <v>male</v>
      </c>
      <c r="F425">
        <v>35</v>
      </c>
      <c r="G425">
        <v>0</v>
      </c>
      <c r="H425" t="str">
        <v>...</v>
      </c>
      <c r="I425" t="str">
        <v>373450</v>
      </c>
      <c r="J425">
        <v>8.0500000000000007</v>
      </c>
      <c r="K425" t="str">
        <v/>
      </c>
      <c r="L425" t="str">
        <v>S</v>
      </c>
      <c r="M425">
        <v>8</v>
      </c>
    </row>
    <row r="426" spans="1:13" x14ac:dyDescent="0.3">
      <c r="B426" t="str">
        <v>Moran, Mr. James</v>
      </c>
      <c r="C426">
        <v>0</v>
      </c>
      <c r="D426">
        <v>3</v>
      </c>
      <c r="E426" t="str">
        <v>male</v>
      </c>
      <c r="F426" t="str">
        <v>manoj</v>
      </c>
      <c r="G426">
        <v>0</v>
      </c>
      <c r="H426" t="str">
        <v>...</v>
      </c>
      <c r="I426" t="str">
        <v>330877</v>
      </c>
      <c r="J426">
        <v>8.4582999999999995</v>
      </c>
      <c r="K426" t="str">
        <v/>
      </c>
      <c r="L426" t="str">
        <v>Q</v>
      </c>
      <c r="M426">
        <v>9</v>
      </c>
    </row>
    <row r="427" spans="1:13" x14ac:dyDescent="0.3">
      <c r="B427" t="str">
        <v>...</v>
      </c>
      <c r="C427" t="str">
        <v>...</v>
      </c>
      <c r="D427" t="str">
        <v>...</v>
      </c>
      <c r="E427" t="str">
        <v>...</v>
      </c>
      <c r="F427" t="str">
        <v>...</v>
      </c>
      <c r="G427" t="str">
        <v>...</v>
      </c>
      <c r="H427" t="str">
        <v>...</v>
      </c>
      <c r="I427" t="str">
        <v>...</v>
      </c>
      <c r="J427" t="str">
        <v>...</v>
      </c>
      <c r="K427" t="str">
        <v>...</v>
      </c>
      <c r="L427" t="str">
        <v>...</v>
      </c>
      <c r="M427" t="str">
        <v>...</v>
      </c>
    </row>
    <row r="428" spans="1:13" x14ac:dyDescent="0.3">
      <c r="B428" t="str">
        <v>Montvila, Rev. Juozas</v>
      </c>
      <c r="C428">
        <v>0</v>
      </c>
      <c r="D428">
        <v>2</v>
      </c>
      <c r="E428" t="str">
        <v>male</v>
      </c>
      <c r="F428">
        <v>27</v>
      </c>
      <c r="G428">
        <v>0</v>
      </c>
      <c r="H428" t="str">
        <v>...</v>
      </c>
      <c r="I428" t="str">
        <v>211536</v>
      </c>
      <c r="J428">
        <v>13</v>
      </c>
      <c r="K428" t="str">
        <v/>
      </c>
      <c r="L428" t="str">
        <v>S</v>
      </c>
      <c r="M428">
        <v>889</v>
      </c>
    </row>
    <row r="429" spans="1:13" x14ac:dyDescent="0.3">
      <c r="B429" t="str">
        <v>Graham, Miss. Margaret Edith</v>
      </c>
      <c r="C429">
        <v>1</v>
      </c>
      <c r="D429">
        <v>1</v>
      </c>
      <c r="E429" t="str">
        <v>female</v>
      </c>
      <c r="F429">
        <v>19</v>
      </c>
      <c r="G429">
        <v>0</v>
      </c>
      <c r="H429" t="str">
        <v>...</v>
      </c>
      <c r="I429" t="str">
        <v>112053</v>
      </c>
      <c r="J429">
        <v>30</v>
      </c>
      <c r="K429" t="str">
        <v>B42</v>
      </c>
      <c r="L429" t="str">
        <v>S</v>
      </c>
      <c r="M429">
        <v>889</v>
      </c>
    </row>
    <row r="430" spans="1:13" x14ac:dyDescent="0.3">
      <c r="B430" t="str">
        <v>Johnston, Miss. Catherine Helen "Carrie"</v>
      </c>
      <c r="C430">
        <v>0</v>
      </c>
      <c r="D430">
        <v>3</v>
      </c>
      <c r="E430" t="str">
        <v>female</v>
      </c>
      <c r="F430" t="str">
        <v>manoj</v>
      </c>
      <c r="G430">
        <v>1</v>
      </c>
      <c r="H430" t="str">
        <v>...</v>
      </c>
      <c r="I430" t="str">
        <v>W./C. 6607</v>
      </c>
      <c r="J430">
        <v>23.45</v>
      </c>
      <c r="K430" t="str">
        <v/>
      </c>
      <c r="L430" t="str">
        <v>S</v>
      </c>
      <c r="M430">
        <v>892</v>
      </c>
    </row>
    <row r="431" spans="1:13" x14ac:dyDescent="0.3">
      <c r="B431" t="str">
        <v>Behr, Mr. Karl Howell</v>
      </c>
      <c r="C431">
        <v>1</v>
      </c>
      <c r="D431">
        <v>1</v>
      </c>
      <c r="E431" t="str">
        <v>male</v>
      </c>
      <c r="F431">
        <v>26</v>
      </c>
      <c r="G431">
        <v>0</v>
      </c>
      <c r="H431" t="str">
        <v>...</v>
      </c>
      <c r="I431" t="str">
        <v>111369</v>
      </c>
      <c r="J431">
        <v>30</v>
      </c>
      <c r="K431" t="str">
        <v>C148</v>
      </c>
      <c r="L431" t="str">
        <v>C</v>
      </c>
      <c r="M431">
        <v>891</v>
      </c>
    </row>
    <row r="432" spans="1:13" x14ac:dyDescent="0.3">
      <c r="B432" t="str">
        <v>Dooley, Mr. Patrick</v>
      </c>
      <c r="C432">
        <v>0</v>
      </c>
      <c r="D432">
        <v>3</v>
      </c>
      <c r="E432" t="str">
        <v>male</v>
      </c>
      <c r="F432">
        <v>32</v>
      </c>
      <c r="G432">
        <v>0</v>
      </c>
      <c r="H432" t="str">
        <v>...</v>
      </c>
      <c r="I432" t="str">
        <v>370376</v>
      </c>
      <c r="J432">
        <v>7.75</v>
      </c>
      <c r="K432" t="str">
        <v/>
      </c>
      <c r="L432" t="str">
        <v>Q</v>
      </c>
      <c r="M432">
        <v>894</v>
      </c>
    </row>
  </sheetData>
  <mergeCells count="1">
    <mergeCell ref="A4:B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9185504-48B3-461B-88DD-25DA2C27BA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services.csv</vt:lpstr>
      <vt:lpstr>Titanic-Dataset</vt:lpstr>
      <vt:lpstr>NBA Player Data From_Web</vt:lpstr>
      <vt:lpstr>Pandas Basic</vt:lpstr>
      <vt:lpstr>Pandas Advanced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dc:creator>
  <cp:lastModifiedBy>manoj pandey</cp:lastModifiedBy>
  <dcterms:created xsi:type="dcterms:W3CDTF">2015-06-05T18:17:20Z</dcterms:created>
  <dcterms:modified xsi:type="dcterms:W3CDTF">2024-03-10T16:02:49Z</dcterms:modified>
</cp:coreProperties>
</file>